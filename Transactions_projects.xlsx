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EORGES\OneDrive\Documents\Data_Analyst\Cours_D-Clic\"/>
    </mc:Choice>
  </mc:AlternateContent>
  <xr:revisionPtr revIDLastSave="0" documentId="13_ncr:1_{E4B1040E-3984-4401-B6DC-7F1204B282C2}" xr6:coauthVersionLast="47" xr6:coauthVersionMax="47" xr10:uidLastSave="{00000000-0000-0000-0000-000000000000}"/>
  <bookViews>
    <workbookView xWindow="-120" yWindow="-120" windowWidth="20730" windowHeight="11160" activeTab="3" xr2:uid="{CD5E537F-A65E-4C3C-AB65-143EA1F8E027}"/>
  </bookViews>
  <sheets>
    <sheet name="Transactions_data" sheetId="2" r:id="rId1"/>
    <sheet name="TCD" sheetId="1" r:id="rId2"/>
    <sheet name="Dashboard" sheetId="3" r:id="rId3"/>
    <sheet name="Suivi" sheetId="4" r:id="rId4"/>
  </sheets>
  <definedNames>
    <definedName name="DonnéesExternes_1" localSheetId="0" hidden="1">Transactions_data!$A$1:$Q$861</definedName>
    <definedName name="Segment_Année">#N/A</definedName>
    <definedName name="Segment_Mois1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4" i="1" l="1"/>
  <c r="D73" i="1"/>
  <c r="C73" i="1"/>
  <c r="C70" i="1"/>
  <c r="C16" i="1"/>
  <c r="E73" i="1" l="1"/>
  <c r="F73" i="1" s="1"/>
  <c r="G7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3C4A8A-524E-4F06-8538-53F9315B8E9F}" keepAlive="1" name="Requête - transactions_evaluation" description="Connexion à la requête « transactions_evaluation » dans le classeur." type="5" refreshedVersion="7" background="1" saveData="1">
    <dbPr connection="Provider=Microsoft.Mashup.OleDb.1;Data Source=$Workbook$;Location=transactions_evaluation;Extended Properties=&quot;&quot;" command="SELECT * FROM [transactions_evaluation]"/>
  </connection>
</connections>
</file>

<file path=xl/sharedStrings.xml><?xml version="1.0" encoding="utf-8"?>
<sst xmlns="http://schemas.openxmlformats.org/spreadsheetml/2006/main" count="10464" uniqueCount="1087">
  <si>
    <t>TransactionID</t>
  </si>
  <si>
    <t>Date</t>
  </si>
  <si>
    <t>CustomerName</t>
  </si>
  <si>
    <t>Region</t>
  </si>
  <si>
    <t>Department</t>
  </si>
  <si>
    <t>PricePerUnit</t>
  </si>
  <si>
    <t>Ville</t>
  </si>
  <si>
    <t>Quantite</t>
  </si>
  <si>
    <t>Montant</t>
  </si>
  <si>
    <t>Etat-status</t>
  </si>
  <si>
    <t>Revenu-category</t>
  </si>
  <si>
    <t>Ligne Produits</t>
  </si>
  <si>
    <t>Index</t>
  </si>
  <si>
    <t>T-100000</t>
  </si>
  <si>
    <t xml:space="preserve">​Atsou Kpodo  </t>
  </si>
  <si>
    <t>Centrale</t>
  </si>
  <si>
    <t>Informatique</t>
  </si>
  <si>
    <t>Blitta</t>
  </si>
  <si>
    <t>en-attente</t>
  </si>
  <si>
    <t>Non-Core</t>
  </si>
  <si>
    <t>AGR</t>
  </si>
  <si>
    <t>CHKAGR</t>
  </si>
  <si>
    <t>T-100001</t>
  </si>
  <si>
    <t>Kodjo Lawson</t>
  </si>
  <si>
    <t>Savanes</t>
  </si>
  <si>
    <t>RH</t>
  </si>
  <si>
    <t>Tandjouaré</t>
  </si>
  <si>
    <t>EDU</t>
  </si>
  <si>
    <t>OKEDU</t>
  </si>
  <si>
    <t>T-100002</t>
  </si>
  <si>
    <t>Yawa Mensah</t>
  </si>
  <si>
    <t>Kara</t>
  </si>
  <si>
    <t>Bafilo</t>
  </si>
  <si>
    <t>non-payé</t>
  </si>
  <si>
    <t>Core</t>
  </si>
  <si>
    <t>ÉNE</t>
  </si>
  <si>
    <t>CHKÉNE</t>
  </si>
  <si>
    <t>T-100003</t>
  </si>
  <si>
    <t>Atsou Ayivi</t>
  </si>
  <si>
    <t>Maritime</t>
  </si>
  <si>
    <t>Lomé</t>
  </si>
  <si>
    <t>TEL</t>
  </si>
  <si>
    <t>CHKTEL</t>
  </si>
  <si>
    <t>T-100004</t>
  </si>
  <si>
    <t>Eyram Kpodo</t>
  </si>
  <si>
    <t>Finance</t>
  </si>
  <si>
    <t>Kétao</t>
  </si>
  <si>
    <t>FMC</t>
  </si>
  <si>
    <t>OKFMC</t>
  </si>
  <si>
    <t>T-100005</t>
  </si>
  <si>
    <t>Mawuli Mensah</t>
  </si>
  <si>
    <t>Sokodé</t>
  </si>
  <si>
    <t>OKÉNE</t>
  </si>
  <si>
    <t>T-100006</t>
  </si>
  <si>
    <t>Mawuli Amouzou</t>
  </si>
  <si>
    <t>Plateaux</t>
  </si>
  <si>
    <t>Badou</t>
  </si>
  <si>
    <t>T-100007</t>
  </si>
  <si>
    <t>Afi Agbo</t>
  </si>
  <si>
    <t>CHKEDU</t>
  </si>
  <si>
    <t>T-100008</t>
  </si>
  <si>
    <t>Kossi Kpodo</t>
  </si>
  <si>
    <t>Tchamba</t>
  </si>
  <si>
    <t>payé</t>
  </si>
  <si>
    <t>OKAGR</t>
  </si>
  <si>
    <t>T-100009</t>
  </si>
  <si>
    <t>Sena Kossi</t>
  </si>
  <si>
    <t>Ventes</t>
  </si>
  <si>
    <t>Dapaong</t>
  </si>
  <si>
    <t>T-100010</t>
  </si>
  <si>
    <t>Afi Kpodo</t>
  </si>
  <si>
    <t>Opérations</t>
  </si>
  <si>
    <t>Aného</t>
  </si>
  <si>
    <t>T-100011</t>
  </si>
  <si>
    <t>Elom Ayivi</t>
  </si>
  <si>
    <t>Mango</t>
  </si>
  <si>
    <t>OKTEL</t>
  </si>
  <si>
    <t>T-100012</t>
  </si>
  <si>
    <t>Mawuli Ayivi</t>
  </si>
  <si>
    <t>Atakpamé</t>
  </si>
  <si>
    <t>T-100013</t>
  </si>
  <si>
    <t>Akofa Agbo</t>
  </si>
  <si>
    <t>Adjengré</t>
  </si>
  <si>
    <t>T-100014</t>
  </si>
  <si>
    <t>Sena Lawson</t>
  </si>
  <si>
    <t>CHKFMC</t>
  </si>
  <si>
    <t>T-100015</t>
  </si>
  <si>
    <t>Akofa Amouzou</t>
  </si>
  <si>
    <t>REVAGR</t>
  </si>
  <si>
    <t>T-100016</t>
  </si>
  <si>
    <t>Ahepe</t>
  </si>
  <si>
    <t>T-100017</t>
  </si>
  <si>
    <t>Atsou Mensah</t>
  </si>
  <si>
    <t>Kohe</t>
  </si>
  <si>
    <t>T-100018</t>
  </si>
  <si>
    <t>Client Unknown</t>
  </si>
  <si>
    <t>T-100019</t>
  </si>
  <si>
    <t>Kodjo Hounkpati</t>
  </si>
  <si>
    <t>Pagouda</t>
  </si>
  <si>
    <t>T-100020</t>
  </si>
  <si>
    <t>Yawa Kossi</t>
  </si>
  <si>
    <t>T-100021</t>
  </si>
  <si>
    <t xml:space="preserve">​Atsou Amouzou  </t>
  </si>
  <si>
    <t>T-100022</t>
  </si>
  <si>
    <t>Mawuli Lawson</t>
  </si>
  <si>
    <t>T-100023</t>
  </si>
  <si>
    <t>Kossi Ayivi</t>
  </si>
  <si>
    <t>T-100024</t>
  </si>
  <si>
    <t>Afi Mensah</t>
  </si>
  <si>
    <t>T-100025</t>
  </si>
  <si>
    <t>Akofa Kpodo</t>
  </si>
  <si>
    <t>T-100026</t>
  </si>
  <si>
    <t>Kodjo Ayivi</t>
  </si>
  <si>
    <t>T-100027</t>
  </si>
  <si>
    <t>Afi Gbogbo</t>
  </si>
  <si>
    <t>T-100028</t>
  </si>
  <si>
    <t>Yawa Amouzou</t>
  </si>
  <si>
    <t>T-100029</t>
  </si>
  <si>
    <t>Kossi Tete</t>
  </si>
  <si>
    <t>T-100030</t>
  </si>
  <si>
    <t>T-100031</t>
  </si>
  <si>
    <t>Akofa Hounkpati</t>
  </si>
  <si>
    <t>T-100032</t>
  </si>
  <si>
    <t>Eyram Amouzou</t>
  </si>
  <si>
    <t>T-100033</t>
  </si>
  <si>
    <t>Atsou Amouzou</t>
  </si>
  <si>
    <t>REVÉNE</t>
  </si>
  <si>
    <t>T-100034</t>
  </si>
  <si>
    <t>Elom Mensah</t>
  </si>
  <si>
    <t>T-100035</t>
  </si>
  <si>
    <t>T-100036</t>
  </si>
  <si>
    <t>T-100037</t>
  </si>
  <si>
    <t>T-100038</t>
  </si>
  <si>
    <t>Eyram Tete</t>
  </si>
  <si>
    <t>T-100039</t>
  </si>
  <si>
    <t>Kodjo Tete</t>
  </si>
  <si>
    <t>Vogan</t>
  </si>
  <si>
    <t>T-100040</t>
  </si>
  <si>
    <t>T-100041</t>
  </si>
  <si>
    <t xml:space="preserve">​Sena Agbo  </t>
  </si>
  <si>
    <t>T-100042</t>
  </si>
  <si>
    <t>REVTEL</t>
  </si>
  <si>
    <t>T-100043</t>
  </si>
  <si>
    <t>Yawa Hounkpati</t>
  </si>
  <si>
    <t>T-100044</t>
  </si>
  <si>
    <t>Yawa Lawson</t>
  </si>
  <si>
    <t>T-100045</t>
  </si>
  <si>
    <t>Afi Hounkpati</t>
  </si>
  <si>
    <t>Kpalimé</t>
  </si>
  <si>
    <t>T-100046</t>
  </si>
  <si>
    <t>Elom Gbogbo</t>
  </si>
  <si>
    <t>T-100047</t>
  </si>
  <si>
    <t>Sena Gbogbo</t>
  </si>
  <si>
    <t>REVFMC</t>
  </si>
  <si>
    <t>T-100048</t>
  </si>
  <si>
    <t>T-100049</t>
  </si>
  <si>
    <t>Kodjo Kossi</t>
  </si>
  <si>
    <t>T-100050</t>
  </si>
  <si>
    <t>Yawa Agbo</t>
  </si>
  <si>
    <t>T-100051</t>
  </si>
  <si>
    <t>Sena Agbo</t>
  </si>
  <si>
    <t>REVEDU</t>
  </si>
  <si>
    <t>T-100052</t>
  </si>
  <si>
    <t>afi amouzou</t>
  </si>
  <si>
    <t>T-100053</t>
  </si>
  <si>
    <t>T-100054</t>
  </si>
  <si>
    <t>T-100055</t>
  </si>
  <si>
    <t>Mawuli Kpodo</t>
  </si>
  <si>
    <t>T-100056</t>
  </si>
  <si>
    <t>Kossi Kossi</t>
  </si>
  <si>
    <t>Sansanné-Mango</t>
  </si>
  <si>
    <t>T-100057</t>
  </si>
  <si>
    <t>T-100058</t>
  </si>
  <si>
    <t>Yawa Kpodo</t>
  </si>
  <si>
    <t>T-100059</t>
  </si>
  <si>
    <t>Eyram Agbo</t>
  </si>
  <si>
    <t>T-100060</t>
  </si>
  <si>
    <t>T-100061</t>
  </si>
  <si>
    <t>T-100062</t>
  </si>
  <si>
    <t>T-100063</t>
  </si>
  <si>
    <t>T-100064</t>
  </si>
  <si>
    <t>Eyram Gbogbo</t>
  </si>
  <si>
    <t>T-100065</t>
  </si>
  <si>
    <t>T-100066</t>
  </si>
  <si>
    <t>Sena Hounkpati</t>
  </si>
  <si>
    <t>T-100067</t>
  </si>
  <si>
    <t>T-100068</t>
  </si>
  <si>
    <t>T-100069</t>
  </si>
  <si>
    <t>Mawuli Tete</t>
  </si>
  <si>
    <t>T-100070</t>
  </si>
  <si>
    <t>Elom Agbo</t>
  </si>
  <si>
    <t>T-100071</t>
  </si>
  <si>
    <t>T-100072</t>
  </si>
  <si>
    <t>Akofa Tete</t>
  </si>
  <si>
    <t>T-100073</t>
  </si>
  <si>
    <t>T-100074</t>
  </si>
  <si>
    <t>Kodjo Mensah</t>
  </si>
  <si>
    <t>T-100075</t>
  </si>
  <si>
    <t>T-100076</t>
  </si>
  <si>
    <t>T-100077</t>
  </si>
  <si>
    <t>T-100078</t>
  </si>
  <si>
    <t>Elom Tete</t>
  </si>
  <si>
    <t>T-100079</t>
  </si>
  <si>
    <t>T-100080</t>
  </si>
  <si>
    <t>Sena Amouzou</t>
  </si>
  <si>
    <t>T-100081</t>
  </si>
  <si>
    <t>T-100082</t>
  </si>
  <si>
    <t>Eyram Lawson</t>
  </si>
  <si>
    <t>T-100083</t>
  </si>
  <si>
    <t xml:space="preserve">​Kossi Tete  </t>
  </si>
  <si>
    <t>T-100084</t>
  </si>
  <si>
    <t>T-100085</t>
  </si>
  <si>
    <t>T-100086</t>
  </si>
  <si>
    <t>T-100087</t>
  </si>
  <si>
    <t>T-100088</t>
  </si>
  <si>
    <t>T-100089</t>
  </si>
  <si>
    <t>Eyram Kossi</t>
  </si>
  <si>
    <t>T-100090</t>
  </si>
  <si>
    <t>T-100091</t>
  </si>
  <si>
    <t>Yawa Ayivi</t>
  </si>
  <si>
    <t>T-100092</t>
  </si>
  <si>
    <t>Yawa Tete</t>
  </si>
  <si>
    <t>T-100093</t>
  </si>
  <si>
    <t>T-100094</t>
  </si>
  <si>
    <t>T-100095</t>
  </si>
  <si>
    <t>T-100096</t>
  </si>
  <si>
    <t>T-100097</t>
  </si>
  <si>
    <t>T-100098</t>
  </si>
  <si>
    <t>Eyram Mensah</t>
  </si>
  <si>
    <t>T-100099</t>
  </si>
  <si>
    <t>T-100100</t>
  </si>
  <si>
    <t>T-100101</t>
  </si>
  <si>
    <t>T-100102</t>
  </si>
  <si>
    <t>T-100103</t>
  </si>
  <si>
    <t>T-100104</t>
  </si>
  <si>
    <t>Kodjo Gbogbo</t>
  </si>
  <si>
    <t>T-100105</t>
  </si>
  <si>
    <t>Elom Kossi</t>
  </si>
  <si>
    <t>T-100106</t>
  </si>
  <si>
    <t>T-100107</t>
  </si>
  <si>
    <t>Kodjo Kpodo</t>
  </si>
  <si>
    <t>T-100108</t>
  </si>
  <si>
    <t>Kodjo Agbo</t>
  </si>
  <si>
    <t>T-100109</t>
  </si>
  <si>
    <t>T-100110</t>
  </si>
  <si>
    <t>T-100111</t>
  </si>
  <si>
    <t>T-100112</t>
  </si>
  <si>
    <t>T-100113</t>
  </si>
  <si>
    <t>Kodjo Amouzou</t>
  </si>
  <si>
    <t>T-100114</t>
  </si>
  <si>
    <t>T-100115</t>
  </si>
  <si>
    <t>T-100116</t>
  </si>
  <si>
    <t>T-100117</t>
  </si>
  <si>
    <t>T-100118</t>
  </si>
  <si>
    <t>Kossi Gbogbo</t>
  </si>
  <si>
    <t>T-100119</t>
  </si>
  <si>
    <t>Atsou Kpodo</t>
  </si>
  <si>
    <t>T-100120</t>
  </si>
  <si>
    <t xml:space="preserve">​Yawa Kossi  </t>
  </si>
  <si>
    <t>T-100121</t>
  </si>
  <si>
    <t>T-100122</t>
  </si>
  <si>
    <t>T-100123</t>
  </si>
  <si>
    <t>T-100124</t>
  </si>
  <si>
    <t>T-100125</t>
  </si>
  <si>
    <t>Afi Ayivi</t>
  </si>
  <si>
    <t>T-100126</t>
  </si>
  <si>
    <t>Atsou Tete</t>
  </si>
  <si>
    <t>T-100127</t>
  </si>
  <si>
    <t>T-100128</t>
  </si>
  <si>
    <t>T-100129</t>
  </si>
  <si>
    <t>T-100130</t>
  </si>
  <si>
    <t>T-100131</t>
  </si>
  <si>
    <t>T-100132</t>
  </si>
  <si>
    <t>T-100133</t>
  </si>
  <si>
    <t>T-100134</t>
  </si>
  <si>
    <t>Afi Tete</t>
  </si>
  <si>
    <t>T-100135</t>
  </si>
  <si>
    <t>T-100136</t>
  </si>
  <si>
    <t>T-100137</t>
  </si>
  <si>
    <t>Atsou Lawson</t>
  </si>
  <si>
    <t>T-100138</t>
  </si>
  <si>
    <t>Mawuli Kossi</t>
  </si>
  <si>
    <t>T-100139</t>
  </si>
  <si>
    <t>T-100140</t>
  </si>
  <si>
    <t>Akofa Kossi</t>
  </si>
  <si>
    <t>T-100141</t>
  </si>
  <si>
    <t>Sena Mensah</t>
  </si>
  <si>
    <t>T-100142</t>
  </si>
  <si>
    <t>T-100143</t>
  </si>
  <si>
    <t>T-100144</t>
  </si>
  <si>
    <t>Kossi Lawson</t>
  </si>
  <si>
    <t>T-100145</t>
  </si>
  <si>
    <t>Eyram Ayivi</t>
  </si>
  <si>
    <t>T-100146</t>
  </si>
  <si>
    <t>Kossi Mensah</t>
  </si>
  <si>
    <t>T-100147</t>
  </si>
  <si>
    <t>T-100148</t>
  </si>
  <si>
    <t>T-100149</t>
  </si>
  <si>
    <t>atsou agbo</t>
  </si>
  <si>
    <t>T-100150</t>
  </si>
  <si>
    <t>T-100151</t>
  </si>
  <si>
    <t>T-100152</t>
  </si>
  <si>
    <t>Sena Ayivi</t>
  </si>
  <si>
    <t>T-100153</t>
  </si>
  <si>
    <t>kossi tete</t>
  </si>
  <si>
    <t>T-100154</t>
  </si>
  <si>
    <t>T-100155</t>
  </si>
  <si>
    <t>T-100156</t>
  </si>
  <si>
    <t>Akofa Lawson</t>
  </si>
  <si>
    <t>T-100157</t>
  </si>
  <si>
    <t>T-100158</t>
  </si>
  <si>
    <t>Akofa Gbogbo</t>
  </si>
  <si>
    <t>T-100159</t>
  </si>
  <si>
    <t>T-100160</t>
  </si>
  <si>
    <t>T-100161</t>
  </si>
  <si>
    <t>T-100162</t>
  </si>
  <si>
    <t>T-100163</t>
  </si>
  <si>
    <t>T-100164</t>
  </si>
  <si>
    <t>T-100165</t>
  </si>
  <si>
    <t>T-100166</t>
  </si>
  <si>
    <t>Akofa Ayivi</t>
  </si>
  <si>
    <t>T-100167</t>
  </si>
  <si>
    <t>T-100168</t>
  </si>
  <si>
    <t>T-100169</t>
  </si>
  <si>
    <t>Atsou Hounkpati</t>
  </si>
  <si>
    <t>T-100170</t>
  </si>
  <si>
    <t>T-100171</t>
  </si>
  <si>
    <t>Mawuli Gbogbo</t>
  </si>
  <si>
    <t>T-100172</t>
  </si>
  <si>
    <t>T-100173</t>
  </si>
  <si>
    <t>T-100174</t>
  </si>
  <si>
    <t>T-100175</t>
  </si>
  <si>
    <t>kossi kpodo</t>
  </si>
  <si>
    <t>T-100176</t>
  </si>
  <si>
    <t>T-100177</t>
  </si>
  <si>
    <t>T-100178</t>
  </si>
  <si>
    <t>T-100179</t>
  </si>
  <si>
    <t xml:space="preserve">​Akofa Mensah  </t>
  </si>
  <si>
    <t>T-100180</t>
  </si>
  <si>
    <t>T-100181</t>
  </si>
  <si>
    <t>T-100182</t>
  </si>
  <si>
    <t>T-100183</t>
  </si>
  <si>
    <t>T-100184</t>
  </si>
  <si>
    <t>T-100185</t>
  </si>
  <si>
    <t>T-100186</t>
  </si>
  <si>
    <t>T-100187</t>
  </si>
  <si>
    <t>T-100188</t>
  </si>
  <si>
    <t>T-100189</t>
  </si>
  <si>
    <t>Mawuli Agbo</t>
  </si>
  <si>
    <t>T-100190</t>
  </si>
  <si>
    <t>T-100191</t>
  </si>
  <si>
    <t>Eyram Hounkpati</t>
  </si>
  <si>
    <t>T-100192</t>
  </si>
  <si>
    <t>Sena Kpodo</t>
  </si>
  <si>
    <t>T-100193</t>
  </si>
  <si>
    <t>T-100194</t>
  </si>
  <si>
    <t>T-100195</t>
  </si>
  <si>
    <t>T-100196</t>
  </si>
  <si>
    <t>T-100197</t>
  </si>
  <si>
    <t>T-100198</t>
  </si>
  <si>
    <t>Atsou Gbogbo</t>
  </si>
  <si>
    <t>T-100199</t>
  </si>
  <si>
    <t>T-100200</t>
  </si>
  <si>
    <t>Elom Amouzou</t>
  </si>
  <si>
    <t>T-100201</t>
  </si>
  <si>
    <t>T-100202</t>
  </si>
  <si>
    <t>T-100203</t>
  </si>
  <si>
    <t>T-100204</t>
  </si>
  <si>
    <t>T-100205</t>
  </si>
  <si>
    <t>yawa mensah</t>
  </si>
  <si>
    <t>T-100206</t>
  </si>
  <si>
    <t>T-100207</t>
  </si>
  <si>
    <t>T-100208</t>
  </si>
  <si>
    <t>T-100209</t>
  </si>
  <si>
    <t>T-100210</t>
  </si>
  <si>
    <t>Afi Amouzou</t>
  </si>
  <si>
    <t>T-100211</t>
  </si>
  <si>
    <t xml:space="preserve">​Eyram Mensah  </t>
  </si>
  <si>
    <t>T-100212</t>
  </si>
  <si>
    <t>T-100213</t>
  </si>
  <si>
    <t>T-100214</t>
  </si>
  <si>
    <t>Elom Hounkpati</t>
  </si>
  <si>
    <t>T-100215</t>
  </si>
  <si>
    <t>T-100216</t>
  </si>
  <si>
    <t>T-100217</t>
  </si>
  <si>
    <t>elom hounkpati</t>
  </si>
  <si>
    <t>T-100218</t>
  </si>
  <si>
    <t>T-100219</t>
  </si>
  <si>
    <t>T-100220</t>
  </si>
  <si>
    <t>T-100221</t>
  </si>
  <si>
    <t>T-100222</t>
  </si>
  <si>
    <t>T-100223</t>
  </si>
  <si>
    <t>elom mensah</t>
  </si>
  <si>
    <t>T-100224</t>
  </si>
  <si>
    <t>T-100225</t>
  </si>
  <si>
    <t>T-100226</t>
  </si>
  <si>
    <t>T-100227</t>
  </si>
  <si>
    <t xml:space="preserve">​Mawuli Ayivi  </t>
  </si>
  <si>
    <t>T-100228</t>
  </si>
  <si>
    <t>T-100229</t>
  </si>
  <si>
    <t>Atsou Kossi</t>
  </si>
  <si>
    <t>T-100230</t>
  </si>
  <si>
    <t>T-100231</t>
  </si>
  <si>
    <t>T-100232</t>
  </si>
  <si>
    <t>T-100233</t>
  </si>
  <si>
    <t>T-100234</t>
  </si>
  <si>
    <t>T-100235</t>
  </si>
  <si>
    <t>Afi Kossi</t>
  </si>
  <si>
    <t>T-100236</t>
  </si>
  <si>
    <t>T-100237</t>
  </si>
  <si>
    <t>T-100238</t>
  </si>
  <si>
    <t>T-100239</t>
  </si>
  <si>
    <t>T-100240</t>
  </si>
  <si>
    <t>T-100241</t>
  </si>
  <si>
    <t>T-100242</t>
  </si>
  <si>
    <t>T-100243</t>
  </si>
  <si>
    <t>T-100244</t>
  </si>
  <si>
    <t>T-100245</t>
  </si>
  <si>
    <t>T-100246</t>
  </si>
  <si>
    <t>Atsou Agbo</t>
  </si>
  <si>
    <t>T-100247</t>
  </si>
  <si>
    <t>T-100248</t>
  </si>
  <si>
    <t>T-100249</t>
  </si>
  <si>
    <t>T-100250</t>
  </si>
  <si>
    <t>T-100251</t>
  </si>
  <si>
    <t xml:space="preserve">​Akofa Tete  </t>
  </si>
  <si>
    <t>T-100252</t>
  </si>
  <si>
    <t>T-100253</t>
  </si>
  <si>
    <t xml:space="preserve">​Elom Gbogbo  </t>
  </si>
  <si>
    <t>T-100254</t>
  </si>
  <si>
    <t>T-100255</t>
  </si>
  <si>
    <t>Sena Tete</t>
  </si>
  <si>
    <t>T-100256</t>
  </si>
  <si>
    <t>T-100257</t>
  </si>
  <si>
    <t>T-100258</t>
  </si>
  <si>
    <t>T-100259</t>
  </si>
  <si>
    <t>T-100260</t>
  </si>
  <si>
    <t>T-100261</t>
  </si>
  <si>
    <t>T-100262</t>
  </si>
  <si>
    <t>Kossi Hounkpati</t>
  </si>
  <si>
    <t>T-100263</t>
  </si>
  <si>
    <t>T-100264</t>
  </si>
  <si>
    <t>T-100265</t>
  </si>
  <si>
    <t>T-100266</t>
  </si>
  <si>
    <t>T-100267</t>
  </si>
  <si>
    <t>T-100268</t>
  </si>
  <si>
    <t>Afi Lawson</t>
  </si>
  <si>
    <t>T-100269</t>
  </si>
  <si>
    <t>T-100270</t>
  </si>
  <si>
    <t>T-100271</t>
  </si>
  <si>
    <t>T-100272</t>
  </si>
  <si>
    <t>T-100273</t>
  </si>
  <si>
    <t>T-100274</t>
  </si>
  <si>
    <t>Mawuli Hounkpati</t>
  </si>
  <si>
    <t>T-100275</t>
  </si>
  <si>
    <t>T-100276</t>
  </si>
  <si>
    <t>T-100277</t>
  </si>
  <si>
    <t>T-100278</t>
  </si>
  <si>
    <t>T-100279</t>
  </si>
  <si>
    <t>T-100280</t>
  </si>
  <si>
    <t>T-100281</t>
  </si>
  <si>
    <t>T-100282</t>
  </si>
  <si>
    <t>Elom Kpodo</t>
  </si>
  <si>
    <t>T-100283</t>
  </si>
  <si>
    <t>T-100284</t>
  </si>
  <si>
    <t>T-100285</t>
  </si>
  <si>
    <t>T-100286</t>
  </si>
  <si>
    <t>T-100287</t>
  </si>
  <si>
    <t>T-100288</t>
  </si>
  <si>
    <t xml:space="preserve">​Akofa Gbogbo  </t>
  </si>
  <si>
    <t>T-100289</t>
  </si>
  <si>
    <t>T-100290</t>
  </si>
  <si>
    <t>T-100291</t>
  </si>
  <si>
    <t>T-100292</t>
  </si>
  <si>
    <t>T-100293</t>
  </si>
  <si>
    <t>T-100294</t>
  </si>
  <si>
    <t>T-100295</t>
  </si>
  <si>
    <t>T-100296</t>
  </si>
  <si>
    <t>T-100297</t>
  </si>
  <si>
    <t>T-100298</t>
  </si>
  <si>
    <t xml:space="preserve">​Yawa Agbo  </t>
  </si>
  <si>
    <t>T-100299</t>
  </si>
  <si>
    <t>T-100300</t>
  </si>
  <si>
    <t>T-100301</t>
  </si>
  <si>
    <t>T-100302</t>
  </si>
  <si>
    <t>T-100303</t>
  </si>
  <si>
    <t>T-100304</t>
  </si>
  <si>
    <t xml:space="preserve">​Akofa Kossi  </t>
  </si>
  <si>
    <t>T-100305</t>
  </si>
  <si>
    <t>T-100306</t>
  </si>
  <si>
    <t>T-100307</t>
  </si>
  <si>
    <t>T-100308</t>
  </si>
  <si>
    <t>T-100309</t>
  </si>
  <si>
    <t>T-100310</t>
  </si>
  <si>
    <t>T-100311</t>
  </si>
  <si>
    <t>T-100312</t>
  </si>
  <si>
    <t>T-100313</t>
  </si>
  <si>
    <t>T-100314</t>
  </si>
  <si>
    <t>T-100315</t>
  </si>
  <si>
    <t>T-100316</t>
  </si>
  <si>
    <t>T-100317</t>
  </si>
  <si>
    <t>T-100318</t>
  </si>
  <si>
    <t>T-100319</t>
  </si>
  <si>
    <t>T-100320</t>
  </si>
  <si>
    <t>akofa amouzou</t>
  </si>
  <si>
    <t>T-100321</t>
  </si>
  <si>
    <t>T-100322</t>
  </si>
  <si>
    <t>T-100323</t>
  </si>
  <si>
    <t>T-100324</t>
  </si>
  <si>
    <t>T-100325</t>
  </si>
  <si>
    <t>T-100326</t>
  </si>
  <si>
    <t>T-100327</t>
  </si>
  <si>
    <t>T-100328</t>
  </si>
  <si>
    <t>T-100329</t>
  </si>
  <si>
    <t>atsou tete</t>
  </si>
  <si>
    <t>T-100330</t>
  </si>
  <si>
    <t>T-100331</t>
  </si>
  <si>
    <t>T-100332</t>
  </si>
  <si>
    <t>T-100333</t>
  </si>
  <si>
    <t>T-100334</t>
  </si>
  <si>
    <t>T-100335</t>
  </si>
  <si>
    <t>T-100336</t>
  </si>
  <si>
    <t>T-100337</t>
  </si>
  <si>
    <t>T-100338</t>
  </si>
  <si>
    <t>T-100339</t>
  </si>
  <si>
    <t>T-100340</t>
  </si>
  <si>
    <t>T-100341</t>
  </si>
  <si>
    <t>T-100342</t>
  </si>
  <si>
    <t>T-100343</t>
  </si>
  <si>
    <t>T-100344</t>
  </si>
  <si>
    <t>T-100345</t>
  </si>
  <si>
    <t>Yawa Gbogbo</t>
  </si>
  <si>
    <t>T-100346</t>
  </si>
  <si>
    <t>Elom Lawson</t>
  </si>
  <si>
    <t>T-100347</t>
  </si>
  <si>
    <t>T-100348</t>
  </si>
  <si>
    <t>T-100349</t>
  </si>
  <si>
    <t>T-100350</t>
  </si>
  <si>
    <t>T-100351</t>
  </si>
  <si>
    <t>T-100352</t>
  </si>
  <si>
    <t>elom gbogbo</t>
  </si>
  <si>
    <t>T-100353</t>
  </si>
  <si>
    <t>T-100354</t>
  </si>
  <si>
    <t>Akofa Mensah</t>
  </si>
  <si>
    <t>T-100355</t>
  </si>
  <si>
    <t>T-100356</t>
  </si>
  <si>
    <t>T-100357</t>
  </si>
  <si>
    <t>T-100358</t>
  </si>
  <si>
    <t xml:space="preserve">​Elom Ayivi  </t>
  </si>
  <si>
    <t>T-100359</t>
  </si>
  <si>
    <t>T-100360</t>
  </si>
  <si>
    <t>T-100361</t>
  </si>
  <si>
    <t>T-100362</t>
  </si>
  <si>
    <t>T-100363</t>
  </si>
  <si>
    <t>T-100364</t>
  </si>
  <si>
    <t>T-100365</t>
  </si>
  <si>
    <t>T-100366</t>
  </si>
  <si>
    <t>T-100367</t>
  </si>
  <si>
    <t>T-100368</t>
  </si>
  <si>
    <t>T-100369</t>
  </si>
  <si>
    <t>T-100370</t>
  </si>
  <si>
    <t>T-100371</t>
  </si>
  <si>
    <t>T-100372</t>
  </si>
  <si>
    <t>T-100373</t>
  </si>
  <si>
    <t>T-100374</t>
  </si>
  <si>
    <t xml:space="preserve">​yawa gbogbo  </t>
  </si>
  <si>
    <t>T-100375</t>
  </si>
  <si>
    <t>T-100376</t>
  </si>
  <si>
    <t>T-100377</t>
  </si>
  <si>
    <t>T-100378</t>
  </si>
  <si>
    <t>T-100379</t>
  </si>
  <si>
    <t>T-100380</t>
  </si>
  <si>
    <t>T-100381</t>
  </si>
  <si>
    <t xml:space="preserve">​Kodjo Hounkpati  </t>
  </si>
  <si>
    <t>T-100382</t>
  </si>
  <si>
    <t>T-100383</t>
  </si>
  <si>
    <t>T-100384</t>
  </si>
  <si>
    <t>T-100385</t>
  </si>
  <si>
    <t>T-100386</t>
  </si>
  <si>
    <t>T-100387</t>
  </si>
  <si>
    <t>T-100388</t>
  </si>
  <si>
    <t>T-100389</t>
  </si>
  <si>
    <t>T-100390</t>
  </si>
  <si>
    <t>T-100391</t>
  </si>
  <si>
    <t>T-100392</t>
  </si>
  <si>
    <t>T-100393</t>
  </si>
  <si>
    <t>T-100394</t>
  </si>
  <si>
    <t>T-100395</t>
  </si>
  <si>
    <t>T-100396</t>
  </si>
  <si>
    <t>T-100397</t>
  </si>
  <si>
    <t>T-100398</t>
  </si>
  <si>
    <t>T-100399</t>
  </si>
  <si>
    <t>T-100400</t>
  </si>
  <si>
    <t>T-100401</t>
  </si>
  <si>
    <t>T-100402</t>
  </si>
  <si>
    <t>T-100403</t>
  </si>
  <si>
    <t>T-100404</t>
  </si>
  <si>
    <t>T-100405</t>
  </si>
  <si>
    <t>T-100406</t>
  </si>
  <si>
    <t>T-100407</t>
  </si>
  <si>
    <t>T-100408</t>
  </si>
  <si>
    <t>T-100409</t>
  </si>
  <si>
    <t>T-100410</t>
  </si>
  <si>
    <t>T-100411</t>
  </si>
  <si>
    <t>T-100412</t>
  </si>
  <si>
    <t>T-100413</t>
  </si>
  <si>
    <t>T-100414</t>
  </si>
  <si>
    <t>T-100415</t>
  </si>
  <si>
    <t>T-100416</t>
  </si>
  <si>
    <t>T-100417</t>
  </si>
  <si>
    <t xml:space="preserve">​Kossi Lawson  </t>
  </si>
  <si>
    <t>T-100418</t>
  </si>
  <si>
    <t>T-100419</t>
  </si>
  <si>
    <t>T-100420</t>
  </si>
  <si>
    <t>T-100421</t>
  </si>
  <si>
    <t>T-100422</t>
  </si>
  <si>
    <t>T-100423</t>
  </si>
  <si>
    <t>T-100424</t>
  </si>
  <si>
    <t>T-100425</t>
  </si>
  <si>
    <t>T-100426</t>
  </si>
  <si>
    <t>T-100427</t>
  </si>
  <si>
    <t>T-100428</t>
  </si>
  <si>
    <t>T-100429</t>
  </si>
  <si>
    <t>T-100430</t>
  </si>
  <si>
    <t>T-100431</t>
  </si>
  <si>
    <t>T-100432</t>
  </si>
  <si>
    <t>T-100433</t>
  </si>
  <si>
    <t>T-100434</t>
  </si>
  <si>
    <t>T-100435</t>
  </si>
  <si>
    <t>T-100436</t>
  </si>
  <si>
    <t>T-100437</t>
  </si>
  <si>
    <t>T-100438</t>
  </si>
  <si>
    <t>T-100439</t>
  </si>
  <si>
    <t>T-100440</t>
  </si>
  <si>
    <t xml:space="preserve">​Eyram Kossi  </t>
  </si>
  <si>
    <t>T-100441</t>
  </si>
  <si>
    <t>T-100442</t>
  </si>
  <si>
    <t>T-100443</t>
  </si>
  <si>
    <t>T-100444</t>
  </si>
  <si>
    <t>T-100445</t>
  </si>
  <si>
    <t>T-100446</t>
  </si>
  <si>
    <t>T-100447</t>
  </si>
  <si>
    <t>T-100448</t>
  </si>
  <si>
    <t>T-100449</t>
  </si>
  <si>
    <t>T-100450</t>
  </si>
  <si>
    <t>T-100451</t>
  </si>
  <si>
    <t>T-100452</t>
  </si>
  <si>
    <t>T-100453</t>
  </si>
  <si>
    <t>T-100454</t>
  </si>
  <si>
    <t>T-100455</t>
  </si>
  <si>
    <t>T-100456</t>
  </si>
  <si>
    <t>T-100457</t>
  </si>
  <si>
    <t>T-100458</t>
  </si>
  <si>
    <t>T-100459</t>
  </si>
  <si>
    <t>T-100460</t>
  </si>
  <si>
    <t>T-100461</t>
  </si>
  <si>
    <t>T-100462</t>
  </si>
  <si>
    <t>T-100463</t>
  </si>
  <si>
    <t>T-100464</t>
  </si>
  <si>
    <t>T-100465</t>
  </si>
  <si>
    <t>T-100466</t>
  </si>
  <si>
    <t>T-100467</t>
  </si>
  <si>
    <t xml:space="preserve">​Afi Lawson  </t>
  </si>
  <si>
    <t>T-100468</t>
  </si>
  <si>
    <t>T-100469</t>
  </si>
  <si>
    <t>T-100470</t>
  </si>
  <si>
    <t>T-100471</t>
  </si>
  <si>
    <t>T-100472</t>
  </si>
  <si>
    <t xml:space="preserve">​Eyram Kpodo  </t>
  </si>
  <si>
    <t>T-100473</t>
  </si>
  <si>
    <t>T-100474</t>
  </si>
  <si>
    <t>T-100475</t>
  </si>
  <si>
    <t xml:space="preserve">​Kodjo Tete  </t>
  </si>
  <si>
    <t>T-100476</t>
  </si>
  <si>
    <t>T-100477</t>
  </si>
  <si>
    <t>T-100478</t>
  </si>
  <si>
    <t>T-100479</t>
  </si>
  <si>
    <t>T-100480</t>
  </si>
  <si>
    <t xml:space="preserve">​Yawa Kpodo  </t>
  </si>
  <si>
    <t>T-100481</t>
  </si>
  <si>
    <t>T-100482</t>
  </si>
  <si>
    <t>Kossi Amouzou</t>
  </si>
  <si>
    <t>T-100483</t>
  </si>
  <si>
    <t>yawa kpodo</t>
  </si>
  <si>
    <t>T-100484</t>
  </si>
  <si>
    <t>T-100485</t>
  </si>
  <si>
    <t>T-100486</t>
  </si>
  <si>
    <t>T-100487</t>
  </si>
  <si>
    <t>T-100488</t>
  </si>
  <si>
    <t>T-100489</t>
  </si>
  <si>
    <t>T-100490</t>
  </si>
  <si>
    <t>T-100491</t>
  </si>
  <si>
    <t>T-100492</t>
  </si>
  <si>
    <t>T-100493</t>
  </si>
  <si>
    <t>T-100494</t>
  </si>
  <si>
    <t>T-100495</t>
  </si>
  <si>
    <t>T-100496</t>
  </si>
  <si>
    <t>T-100497</t>
  </si>
  <si>
    <t>T-100498</t>
  </si>
  <si>
    <t>T-100499</t>
  </si>
  <si>
    <t>T-100500</t>
  </si>
  <si>
    <t>T-100501</t>
  </si>
  <si>
    <t>T-100502</t>
  </si>
  <si>
    <t xml:space="preserve">​Mawuli Lawson  </t>
  </si>
  <si>
    <t>T-100503</t>
  </si>
  <si>
    <t>T-100504</t>
  </si>
  <si>
    <t>T-100505</t>
  </si>
  <si>
    <t>T-100506</t>
  </si>
  <si>
    <t>T-100507</t>
  </si>
  <si>
    <t>T-100508</t>
  </si>
  <si>
    <t>T-100509</t>
  </si>
  <si>
    <t>T-100510</t>
  </si>
  <si>
    <t>T-100511</t>
  </si>
  <si>
    <t>T-100512</t>
  </si>
  <si>
    <t>T-100513</t>
  </si>
  <si>
    <t>T-100514</t>
  </si>
  <si>
    <t>T-100515</t>
  </si>
  <si>
    <t>T-100516</t>
  </si>
  <si>
    <t>T-100517</t>
  </si>
  <si>
    <t>T-100518</t>
  </si>
  <si>
    <t>T-100519</t>
  </si>
  <si>
    <t xml:space="preserve">​Elom Amouzou  </t>
  </si>
  <si>
    <t>T-100520</t>
  </si>
  <si>
    <t>T-100521</t>
  </si>
  <si>
    <t>T-100522</t>
  </si>
  <si>
    <t>T-100523</t>
  </si>
  <si>
    <t>T-100524</t>
  </si>
  <si>
    <t>T-100525</t>
  </si>
  <si>
    <t>T-100526</t>
  </si>
  <si>
    <t>T-100527</t>
  </si>
  <si>
    <t>T-100528</t>
  </si>
  <si>
    <t>T-100529</t>
  </si>
  <si>
    <t>T-100530</t>
  </si>
  <si>
    <t>T-100531</t>
  </si>
  <si>
    <t>T-100532</t>
  </si>
  <si>
    <t>T-100533</t>
  </si>
  <si>
    <t>T-100534</t>
  </si>
  <si>
    <t>T-100535</t>
  </si>
  <si>
    <t>T-100536</t>
  </si>
  <si>
    <t>T-100537</t>
  </si>
  <si>
    <t>T-100538</t>
  </si>
  <si>
    <t>T-100539</t>
  </si>
  <si>
    <t>T-100540</t>
  </si>
  <si>
    <t>T-100541</t>
  </si>
  <si>
    <t>T-100542</t>
  </si>
  <si>
    <t>T-100543</t>
  </si>
  <si>
    <t>T-100544</t>
  </si>
  <si>
    <t>T-100545</t>
  </si>
  <si>
    <t>T-100546</t>
  </si>
  <si>
    <t>T-100547</t>
  </si>
  <si>
    <t>T-100548</t>
  </si>
  <si>
    <t>T-100549</t>
  </si>
  <si>
    <t>T-100550</t>
  </si>
  <si>
    <t>T-100551</t>
  </si>
  <si>
    <t>T-100552</t>
  </si>
  <si>
    <t xml:space="preserve">​Mawuli Tete  </t>
  </si>
  <si>
    <t>T-100553</t>
  </si>
  <si>
    <t>T-100554</t>
  </si>
  <si>
    <t>T-100555</t>
  </si>
  <si>
    <t>T-100556</t>
  </si>
  <si>
    <t>T-100557</t>
  </si>
  <si>
    <t>T-100558</t>
  </si>
  <si>
    <t>T-100559</t>
  </si>
  <si>
    <t>T-100560</t>
  </si>
  <si>
    <t>T-100561</t>
  </si>
  <si>
    <t>T-100562</t>
  </si>
  <si>
    <t>T-100563</t>
  </si>
  <si>
    <t xml:space="preserve">​Atsou Tete  </t>
  </si>
  <si>
    <t>T-100564</t>
  </si>
  <si>
    <t>T-100565</t>
  </si>
  <si>
    <t>T-100566</t>
  </si>
  <si>
    <t>T-100567</t>
  </si>
  <si>
    <t>T-100568</t>
  </si>
  <si>
    <t>T-100569</t>
  </si>
  <si>
    <t>T-100570</t>
  </si>
  <si>
    <t>T-100571</t>
  </si>
  <si>
    <t>T-100572</t>
  </si>
  <si>
    <t>T-100573</t>
  </si>
  <si>
    <t>T-100574</t>
  </si>
  <si>
    <t>T-100575</t>
  </si>
  <si>
    <t>T-100576</t>
  </si>
  <si>
    <t>T-100577</t>
  </si>
  <si>
    <t>T-100578</t>
  </si>
  <si>
    <t>T-100579</t>
  </si>
  <si>
    <t>T-100580</t>
  </si>
  <si>
    <t>T-100581</t>
  </si>
  <si>
    <t>T-100582</t>
  </si>
  <si>
    <t xml:space="preserve">​Akofa Lawson  </t>
  </si>
  <si>
    <t>T-100583</t>
  </si>
  <si>
    <t>T-100584</t>
  </si>
  <si>
    <t>T-100585</t>
  </si>
  <si>
    <t xml:space="preserve">​Yawa Ayivi  </t>
  </si>
  <si>
    <t>T-100586</t>
  </si>
  <si>
    <t>T-100587</t>
  </si>
  <si>
    <t>T-100588</t>
  </si>
  <si>
    <t>T-100589</t>
  </si>
  <si>
    <t>T-100590</t>
  </si>
  <si>
    <t>T-100591</t>
  </si>
  <si>
    <t>T-100592</t>
  </si>
  <si>
    <t>T-100593</t>
  </si>
  <si>
    <t>T-100594</t>
  </si>
  <si>
    <t>T-100595</t>
  </si>
  <si>
    <t>T-100596</t>
  </si>
  <si>
    <t>T-100597</t>
  </si>
  <si>
    <t>T-100598</t>
  </si>
  <si>
    <t>T-100599</t>
  </si>
  <si>
    <t>T-100600</t>
  </si>
  <si>
    <t>T-100601</t>
  </si>
  <si>
    <t>atsou lawson</t>
  </si>
  <si>
    <t>T-100602</t>
  </si>
  <si>
    <t>akofa lawson</t>
  </si>
  <si>
    <t>T-100603</t>
  </si>
  <si>
    <t>T-100604</t>
  </si>
  <si>
    <t>T-100605</t>
  </si>
  <si>
    <t>T-100606</t>
  </si>
  <si>
    <t>T-100607</t>
  </si>
  <si>
    <t>T-100608</t>
  </si>
  <si>
    <t>T-100609</t>
  </si>
  <si>
    <t>T-100610</t>
  </si>
  <si>
    <t>T-100611</t>
  </si>
  <si>
    <t>T-100612</t>
  </si>
  <si>
    <t>T-100613</t>
  </si>
  <si>
    <t>T-100614</t>
  </si>
  <si>
    <t>T-100615</t>
  </si>
  <si>
    <t>T-100616</t>
  </si>
  <si>
    <t>T-100617</t>
  </si>
  <si>
    <t>T-100618</t>
  </si>
  <si>
    <t xml:space="preserve">​Mawuli Mensah  </t>
  </si>
  <si>
    <t>T-100619</t>
  </si>
  <si>
    <t>T-100620</t>
  </si>
  <si>
    <t>T-100621</t>
  </si>
  <si>
    <t>T-100622</t>
  </si>
  <si>
    <t>T-100623</t>
  </si>
  <si>
    <t>T-100624</t>
  </si>
  <si>
    <t>T-100625</t>
  </si>
  <si>
    <t>T-100626</t>
  </si>
  <si>
    <t xml:space="preserve">​Atsou Gbogbo  </t>
  </si>
  <si>
    <t>T-100627</t>
  </si>
  <si>
    <t>T-100628</t>
  </si>
  <si>
    <t>T-100629</t>
  </si>
  <si>
    <t>T-100630</t>
  </si>
  <si>
    <t>T-100631</t>
  </si>
  <si>
    <t>T-100632</t>
  </si>
  <si>
    <t>T-100633</t>
  </si>
  <si>
    <t>T-100634</t>
  </si>
  <si>
    <t xml:space="preserve">​Yawa Lawson  </t>
  </si>
  <si>
    <t>T-100635</t>
  </si>
  <si>
    <t>T-100636</t>
  </si>
  <si>
    <t>T-100637</t>
  </si>
  <si>
    <t>T-100638</t>
  </si>
  <si>
    <t>T-100639</t>
  </si>
  <si>
    <t>T-100640</t>
  </si>
  <si>
    <t>T-100641</t>
  </si>
  <si>
    <t>T-100642</t>
  </si>
  <si>
    <t>T-100643</t>
  </si>
  <si>
    <t>T-100644</t>
  </si>
  <si>
    <t>T-100645</t>
  </si>
  <si>
    <t>akofa kossi</t>
  </si>
  <si>
    <t>T-100646</t>
  </si>
  <si>
    <t>T-100647</t>
  </si>
  <si>
    <t>T-100648</t>
  </si>
  <si>
    <t>T-100649</t>
  </si>
  <si>
    <t>T-100650</t>
  </si>
  <si>
    <t>T-100651</t>
  </si>
  <si>
    <t>T-100652</t>
  </si>
  <si>
    <t>T-100653</t>
  </si>
  <si>
    <t>T-100654</t>
  </si>
  <si>
    <t>T-100655</t>
  </si>
  <si>
    <t xml:space="preserve">​akofa mensah  </t>
  </si>
  <si>
    <t>T-100656</t>
  </si>
  <si>
    <t>T-100657</t>
  </si>
  <si>
    <t>eyram kossi</t>
  </si>
  <si>
    <t>T-100658</t>
  </si>
  <si>
    <t>T-100659</t>
  </si>
  <si>
    <t>T-100660</t>
  </si>
  <si>
    <t>T-100661</t>
  </si>
  <si>
    <t>T-100662</t>
  </si>
  <si>
    <t>T-100663</t>
  </si>
  <si>
    <t>T-100664</t>
  </si>
  <si>
    <t>T-100665</t>
  </si>
  <si>
    <t>T-100666</t>
  </si>
  <si>
    <t>T-100667</t>
  </si>
  <si>
    <t>T-100668</t>
  </si>
  <si>
    <t>T-100669</t>
  </si>
  <si>
    <t>afi agbo</t>
  </si>
  <si>
    <t>T-100670</t>
  </si>
  <si>
    <t>T-100671</t>
  </si>
  <si>
    <t>T-100672</t>
  </si>
  <si>
    <t>T-100673</t>
  </si>
  <si>
    <t>T-100674</t>
  </si>
  <si>
    <t>T-100675</t>
  </si>
  <si>
    <t>T-100676</t>
  </si>
  <si>
    <t>T-100677</t>
  </si>
  <si>
    <t>T-100678</t>
  </si>
  <si>
    <t>T-100679</t>
  </si>
  <si>
    <t>T-100680</t>
  </si>
  <si>
    <t>T-100681</t>
  </si>
  <si>
    <t>T-100682</t>
  </si>
  <si>
    <t>T-100683</t>
  </si>
  <si>
    <t>sena kossi</t>
  </si>
  <si>
    <t>T-100684</t>
  </si>
  <si>
    <t>afi gbogbo</t>
  </si>
  <si>
    <t>T-100685</t>
  </si>
  <si>
    <t>T-100686</t>
  </si>
  <si>
    <t>T-100687</t>
  </si>
  <si>
    <t>T-100688</t>
  </si>
  <si>
    <t>sena lawson</t>
  </si>
  <si>
    <t>T-100689</t>
  </si>
  <si>
    <t>T-100690</t>
  </si>
  <si>
    <t>T-100691</t>
  </si>
  <si>
    <t>T-100692</t>
  </si>
  <si>
    <t>T-100693</t>
  </si>
  <si>
    <t>T-100694</t>
  </si>
  <si>
    <t>T-100695</t>
  </si>
  <si>
    <t>T-100696</t>
  </si>
  <si>
    <t>sena tete</t>
  </si>
  <si>
    <t>T-100697</t>
  </si>
  <si>
    <t xml:space="preserve">​elom mensah  </t>
  </si>
  <si>
    <t>T-100698</t>
  </si>
  <si>
    <t>T-100699</t>
  </si>
  <si>
    <t>T-100700</t>
  </si>
  <si>
    <t>T-100701</t>
  </si>
  <si>
    <t>T-100702</t>
  </si>
  <si>
    <t xml:space="preserve">​Sena Lawson  </t>
  </si>
  <si>
    <t>T-100703</t>
  </si>
  <si>
    <t>T-100704</t>
  </si>
  <si>
    <t>T-100705</t>
  </si>
  <si>
    <t>atsou kossi</t>
  </si>
  <si>
    <t>T-100706</t>
  </si>
  <si>
    <t>T-100707</t>
  </si>
  <si>
    <t>T-100708</t>
  </si>
  <si>
    <t>T-100709</t>
  </si>
  <si>
    <t>T-100710</t>
  </si>
  <si>
    <t>T-100711</t>
  </si>
  <si>
    <t>T-100712</t>
  </si>
  <si>
    <t>T-100713</t>
  </si>
  <si>
    <t xml:space="preserve">​Sena Mensah  </t>
  </si>
  <si>
    <t>T-100714</t>
  </si>
  <si>
    <t>T-100715</t>
  </si>
  <si>
    <t>T-100716</t>
  </si>
  <si>
    <t>T-100717</t>
  </si>
  <si>
    <t>T-100718</t>
  </si>
  <si>
    <t xml:space="preserve">​Kossi Gbogbo  </t>
  </si>
  <si>
    <t>T-100719</t>
  </si>
  <si>
    <t>T-100720</t>
  </si>
  <si>
    <t>T-100721</t>
  </si>
  <si>
    <t>T-100722</t>
  </si>
  <si>
    <t>T-100723</t>
  </si>
  <si>
    <t>T-100724</t>
  </si>
  <si>
    <t>T-100725</t>
  </si>
  <si>
    <t>T-100726</t>
  </si>
  <si>
    <t>T-100727</t>
  </si>
  <si>
    <t>T-100728</t>
  </si>
  <si>
    <t>T-100729</t>
  </si>
  <si>
    <t>mawuli agbo</t>
  </si>
  <si>
    <t>T-100730</t>
  </si>
  <si>
    <t>T-100731</t>
  </si>
  <si>
    <t>T-100732</t>
  </si>
  <si>
    <t>T-100733</t>
  </si>
  <si>
    <t>T-100734</t>
  </si>
  <si>
    <t>T-100735</t>
  </si>
  <si>
    <t>T-100736</t>
  </si>
  <si>
    <t>T-100737</t>
  </si>
  <si>
    <t xml:space="preserve">​Atsou Mensah  </t>
  </si>
  <si>
    <t>T-100738</t>
  </si>
  <si>
    <t>T-100739</t>
  </si>
  <si>
    <t>T-100740</t>
  </si>
  <si>
    <t>T-100741</t>
  </si>
  <si>
    <t>T-100742</t>
  </si>
  <si>
    <t>T-100743</t>
  </si>
  <si>
    <t>T-100744</t>
  </si>
  <si>
    <t xml:space="preserve">​Kodjo Lawson  </t>
  </si>
  <si>
    <t>T-100745</t>
  </si>
  <si>
    <t>T-100746</t>
  </si>
  <si>
    <t>T-100747</t>
  </si>
  <si>
    <t xml:space="preserve">​Kossi Agbo  </t>
  </si>
  <si>
    <t>T-100748</t>
  </si>
  <si>
    <t>T-100749</t>
  </si>
  <si>
    <t>T-100750</t>
  </si>
  <si>
    <t>T-100751</t>
  </si>
  <si>
    <t>T-100752</t>
  </si>
  <si>
    <t>T-100753</t>
  </si>
  <si>
    <t>T-100754</t>
  </si>
  <si>
    <t xml:space="preserve">​akofa hounkpati  </t>
  </si>
  <si>
    <t>T-100755</t>
  </si>
  <si>
    <t>T-100756</t>
  </si>
  <si>
    <t>T-100757</t>
  </si>
  <si>
    <t>T-100758</t>
  </si>
  <si>
    <t>T-100759</t>
  </si>
  <si>
    <t>T-100760</t>
  </si>
  <si>
    <t>T-100761</t>
  </si>
  <si>
    <t>T-100762</t>
  </si>
  <si>
    <t>Kossi Agbo</t>
  </si>
  <si>
    <t>T-100763</t>
  </si>
  <si>
    <t xml:space="preserve">​Kodjo Gbogbo  </t>
  </si>
  <si>
    <t>T-100764</t>
  </si>
  <si>
    <t>T-100765</t>
  </si>
  <si>
    <t>T-100766</t>
  </si>
  <si>
    <t>T-100767</t>
  </si>
  <si>
    <t>T-100768</t>
  </si>
  <si>
    <t>T-100769</t>
  </si>
  <si>
    <t>T-100770</t>
  </si>
  <si>
    <t>T-100771</t>
  </si>
  <si>
    <t>T-100772</t>
  </si>
  <si>
    <t>T-100773</t>
  </si>
  <si>
    <t>T-100774</t>
  </si>
  <si>
    <t>T-100775</t>
  </si>
  <si>
    <t>T-100776</t>
  </si>
  <si>
    <t>T-100777</t>
  </si>
  <si>
    <t>T-100778</t>
  </si>
  <si>
    <t>T-100779</t>
  </si>
  <si>
    <t>T-100780</t>
  </si>
  <si>
    <t>T-100781</t>
  </si>
  <si>
    <t>T-100782</t>
  </si>
  <si>
    <t>T-100783</t>
  </si>
  <si>
    <t>T-100784</t>
  </si>
  <si>
    <t>T-100785</t>
  </si>
  <si>
    <t>T-100786</t>
  </si>
  <si>
    <t>T-100787</t>
  </si>
  <si>
    <t>T-100788</t>
  </si>
  <si>
    <t>T-100789</t>
  </si>
  <si>
    <t>T-100790</t>
  </si>
  <si>
    <t>T-100791</t>
  </si>
  <si>
    <t>T-100792</t>
  </si>
  <si>
    <t>T-100793</t>
  </si>
  <si>
    <t>T-100794</t>
  </si>
  <si>
    <t>T-100795</t>
  </si>
  <si>
    <t>T-100796</t>
  </si>
  <si>
    <t>T-100797</t>
  </si>
  <si>
    <t xml:space="preserve">​Kossi Kpodo  </t>
  </si>
  <si>
    <t>T-100798</t>
  </si>
  <si>
    <t>T-100799</t>
  </si>
  <si>
    <t>Étiquettes de lignes</t>
  </si>
  <si>
    <t>Total général</t>
  </si>
  <si>
    <t>Somme de Montant</t>
  </si>
  <si>
    <t>Moyenne de Montant</t>
  </si>
  <si>
    <t>Moyenne des Montant par Region</t>
  </si>
  <si>
    <t>La ville avec le montant eleve</t>
  </si>
  <si>
    <t>Moyenne  des ventes par departement</t>
  </si>
  <si>
    <t>Étiquettes de colonnes</t>
  </si>
  <si>
    <t>Nombre de TransactionID</t>
  </si>
  <si>
    <t>Repartition des Core /Non-Core par Region</t>
  </si>
  <si>
    <t>Nombre de Etat-status</t>
  </si>
  <si>
    <t>Repartition des pourcentages en Status</t>
  </si>
  <si>
    <t>Mois</t>
  </si>
  <si>
    <t>Jour</t>
  </si>
  <si>
    <t>Oct</t>
  </si>
  <si>
    <t>Thu</t>
  </si>
  <si>
    <t>Apr</t>
  </si>
  <si>
    <t>Sep</t>
  </si>
  <si>
    <t>Jan</t>
  </si>
  <si>
    <t>Aug</t>
  </si>
  <si>
    <t>Jul</t>
  </si>
  <si>
    <t>Tue</t>
  </si>
  <si>
    <t>Mar</t>
  </si>
  <si>
    <t>Sun</t>
  </si>
  <si>
    <t>Mon</t>
  </si>
  <si>
    <t>May</t>
  </si>
  <si>
    <t>Fri</t>
  </si>
  <si>
    <t>Wed</t>
  </si>
  <si>
    <t>Feb</t>
  </si>
  <si>
    <t>Dec</t>
  </si>
  <si>
    <t>Jun</t>
  </si>
  <si>
    <t>Sat</t>
  </si>
  <si>
    <t>Nov</t>
  </si>
  <si>
    <t>Tendance Mensuelle</t>
  </si>
  <si>
    <t>Somme de Quantite</t>
  </si>
  <si>
    <t>Les 03 meilleurs Lignes de produits vendus</t>
  </si>
  <si>
    <t>Le Jour avec plus de vente</t>
  </si>
  <si>
    <t>Recap Cross Tab</t>
  </si>
  <si>
    <t>Nombre de Revenu-category</t>
  </si>
  <si>
    <t>repartitions des Cores</t>
  </si>
  <si>
    <t>Quantite Total Vendu</t>
  </si>
  <si>
    <t>Q1</t>
  </si>
  <si>
    <t>Q3</t>
  </si>
  <si>
    <t>IQR</t>
  </si>
  <si>
    <t>BI</t>
  </si>
  <si>
    <t>Outliers</t>
  </si>
  <si>
    <t>Abberante</t>
  </si>
  <si>
    <t>Normale</t>
  </si>
  <si>
    <t>Nombre de Outliers</t>
  </si>
  <si>
    <t>Valeurs Aberantes</t>
  </si>
  <si>
    <t>BS</t>
  </si>
  <si>
    <t>Tsevié</t>
  </si>
  <si>
    <t>Top 5 des produits vendus par montants et quantites</t>
  </si>
  <si>
    <t>1- Montant median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</si>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</sst>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w Cen MT"/>
      <family val="2"/>
    </font>
    <font>
      <sz val="11"/>
      <color theme="0"/>
      <name val="Tw Cen MT"/>
      <family val="2"/>
    </font>
    <font>
      <b/>
      <sz val="24"/>
      <color theme="0"/>
      <name val="Tw Cen MT"/>
      <family val="2"/>
    </font>
    <font>
      <sz val="11"/>
      <color theme="1"/>
      <name val="Tw Cen MT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0" fillId="0" borderId="0" xfId="0" applyAlignment="1">
      <alignment horizontal="center" vertical="center"/>
    </xf>
    <xf numFmtId="0" fontId="0" fillId="3" borderId="0" xfId="0" applyFill="1"/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0" fillId="0" borderId="0" xfId="0" applyNumberFormat="1"/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6" fillId="0" borderId="0" xfId="0" applyNumberFormat="1" applyFont="1"/>
    <xf numFmtId="9" fontId="6" fillId="0" borderId="0" xfId="0" applyNumberFormat="1" applyFo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95"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numFmt numFmtId="1" formatCode="0"/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numFmt numFmtId="1" formatCode="0"/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numFmt numFmtId="1" formatCode="0"/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numFmt numFmtId="13" formatCode="0%"/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numFmt numFmtId="1" formatCode="0"/>
    </dxf>
    <dxf>
      <numFmt numFmtId="164" formatCode="0.000000"/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numFmt numFmtId="1" formatCode="0"/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font>
        <name val="Tw Cen MT"/>
        <scheme val="none"/>
      </font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w Cen MT"/>
        <family val="2"/>
        <scheme val="none"/>
      </font>
    </dxf>
  </dxfs>
  <tableStyles count="0" defaultTableStyle="TableStyleMedium2" defaultPivotStyle="PivotStyleLight16"/>
  <colors>
    <mruColors>
      <color rgb="FF13326D"/>
      <color rgb="FF6C65FF"/>
      <color rgb="FFECF1FF"/>
      <color rgb="FFEBEBEB"/>
      <color rgb="FF00CECE"/>
      <color rgb="FFC0C0C0"/>
      <color rgb="FFB4B4B4"/>
      <color rgb="FFCFD1D4"/>
      <color rgb="FFB5B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[Akakpo_kodjo_georges_Data_analyst.xlsx]TCD!repartitions des Cores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  <a:latin typeface="Tw Cen MT" panose="020B0602020104020603" pitchFamily="34" charset="0"/>
              </a:rPr>
              <a:t>Repartition Core/Non-core</a:t>
            </a:r>
          </a:p>
        </c:rich>
      </c:tx>
      <c:overlay val="0"/>
      <c:spPr>
        <a:solidFill>
          <a:srgbClr val="13326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C65F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CF1F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13326D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fld id="{F525E1E1-E56A-4337-A71B-8ADF8F2ED89F}" type="VALUE">
                  <a:rPr lang="en-US">
                    <a:solidFill>
                      <a:schemeClr val="bg1"/>
                    </a:solidFill>
                  </a:rPr>
                  <a:pPr>
                    <a:defRPr sz="1000" b="1">
                      <a:latin typeface="Tw Cen MT" panose="020B0602020104020603" pitchFamily="34" charset="0"/>
                    </a:defRPr>
                  </a:pPr>
                  <a:t>[VALEUR]</a:t>
                </a:fld>
                <a:endParaRPr lang="fr-TG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TCD!$H$55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C65FF"/>
            </a:solidFill>
          </c:spPr>
          <c:dPt>
            <c:idx val="0"/>
            <c:bubble3D val="0"/>
            <c:spPr>
              <a:solidFill>
                <a:srgbClr val="ECF1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A2-4B5A-8544-75336CC6156D}"/>
              </c:ext>
            </c:extLst>
          </c:dPt>
          <c:dPt>
            <c:idx val="1"/>
            <c:bubble3D val="0"/>
            <c:spPr>
              <a:solidFill>
                <a:srgbClr val="13326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A2-4B5A-8544-75336CC6156D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F525E1E1-E56A-4337-A71B-8ADF8F2ED89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[VALEUR]</a:t>
                    </a:fld>
                    <a:endParaRPr lang="fr-TG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DA2-4B5A-8544-75336CC61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endParaRPr lang="fr-T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TCD!$G$56:$G$58</c:f>
              <c:strCache>
                <c:ptCount val="2"/>
                <c:pt idx="0">
                  <c:v>Core</c:v>
                </c:pt>
                <c:pt idx="1">
                  <c:v>Non-Core</c:v>
                </c:pt>
              </c:strCache>
            </c:strRef>
          </c:cat>
          <c:val>
            <c:numRef>
              <c:f>TCD!$H$56:$H$58</c:f>
              <c:numCache>
                <c:formatCode>General</c:formatCode>
                <c:ptCount val="2"/>
                <c:pt idx="0">
                  <c:v>289</c:v>
                </c:pt>
                <c:pt idx="1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A2-4B5A-8544-75336CC615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0"/>
              <a:ea typeface="+mn-ea"/>
              <a:cs typeface="+mn-cs"/>
            </a:defRPr>
          </a:pPr>
          <a:endParaRPr lang="fr-T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[Akakpo_kodjo_georges_Data_analyst.xlsx]TCD!Moyene des Montant par region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  <a:latin typeface="Tw Cen MT" panose="020B0602020104020603" pitchFamily="34" charset="0"/>
              </a:rPr>
              <a:t>Repartition</a:t>
            </a:r>
            <a:r>
              <a:rPr lang="en-US" sz="1600" b="1" baseline="0">
                <a:solidFill>
                  <a:schemeClr val="bg1"/>
                </a:solidFill>
                <a:latin typeface="Tw Cen MT" panose="020B0602020104020603" pitchFamily="34" charset="0"/>
              </a:rPr>
              <a:t> des Montants/Region</a:t>
            </a:r>
            <a:endParaRPr lang="en-US" sz="1600" b="1">
              <a:solidFill>
                <a:schemeClr val="bg1"/>
              </a:solidFill>
              <a:latin typeface="Tw Cen MT" panose="020B0602020104020603" pitchFamily="34" charset="0"/>
            </a:endParaRPr>
          </a:p>
        </c:rich>
      </c:tx>
      <c:overlay val="0"/>
      <c:spPr>
        <a:solidFill>
          <a:srgbClr val="13326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3326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3326D"/>
          </a:solidFill>
          <a:ln>
            <a:noFill/>
          </a:ln>
          <a:effectLst/>
        </c:spPr>
      </c:pivotFmt>
      <c:pivotFmt>
        <c:idx val="4"/>
        <c:spPr>
          <a:solidFill>
            <a:srgbClr val="13326D"/>
          </a:solidFill>
          <a:ln>
            <a:noFill/>
          </a:ln>
          <a:effectLst/>
        </c:spPr>
      </c:pivotFmt>
      <c:pivotFmt>
        <c:idx val="5"/>
        <c:spPr>
          <a:solidFill>
            <a:srgbClr val="13326D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3326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endParaRPr lang="fr-T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TCD!$C$8:$C$13</c:f>
              <c:strCache>
                <c:ptCount val="5"/>
                <c:pt idx="0">
                  <c:v>Plateaux</c:v>
                </c:pt>
                <c:pt idx="1">
                  <c:v>Maritime</c:v>
                </c:pt>
                <c:pt idx="2">
                  <c:v>Kara</c:v>
                </c:pt>
                <c:pt idx="3">
                  <c:v>Savanes</c:v>
                </c:pt>
                <c:pt idx="4">
                  <c:v>Centrale</c:v>
                </c:pt>
              </c:strCache>
            </c:strRef>
          </c:cat>
          <c:val>
            <c:numRef>
              <c:f>TCD!$D$8:$D$13</c:f>
              <c:numCache>
                <c:formatCode>0</c:formatCode>
                <c:ptCount val="5"/>
                <c:pt idx="0">
                  <c:v>1767.4962908163266</c:v>
                </c:pt>
                <c:pt idx="1">
                  <c:v>1977.4247846153846</c:v>
                </c:pt>
                <c:pt idx="2">
                  <c:v>2029.3333427672953</c:v>
                </c:pt>
                <c:pt idx="3">
                  <c:v>2116.0489671052637</c:v>
                </c:pt>
                <c:pt idx="4">
                  <c:v>2185.5039430379757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0-4363-B68B-BEAA3EFDD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50"/>
        <c:axId val="471660464"/>
        <c:axId val="471662432"/>
      </c:barChart>
      <c:catAx>
        <c:axId val="47166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fr-TG"/>
          </a:p>
        </c:txPr>
        <c:crossAx val="471662432"/>
        <c:crosses val="autoZero"/>
        <c:auto val="1"/>
        <c:lblAlgn val="ctr"/>
        <c:lblOffset val="100"/>
        <c:noMultiLvlLbl val="0"/>
      </c:catAx>
      <c:valAx>
        <c:axId val="471662432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4716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[Akakpo_kodjo_georges_Data_analyst.xlsx]TCD!Repartition des pourcentages en Status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  <a:latin typeface="Tw Cen MT" panose="020B0602020104020603" pitchFamily="34" charset="0"/>
              </a:rPr>
              <a:t>Repartition</a:t>
            </a:r>
            <a:r>
              <a:rPr lang="en-US" sz="1400" b="1" baseline="0">
                <a:solidFill>
                  <a:schemeClr val="bg1"/>
                </a:solidFill>
                <a:latin typeface="Tw Cen MT" panose="020B0602020104020603" pitchFamily="34" charset="0"/>
              </a:rPr>
              <a:t> des Status</a:t>
            </a:r>
            <a:endParaRPr lang="en-US" sz="1400" b="1">
              <a:solidFill>
                <a:schemeClr val="bg1"/>
              </a:solidFill>
              <a:latin typeface="Tw Cen MT" panose="020B0602020104020603" pitchFamily="34" charset="0"/>
            </a:endParaRPr>
          </a:p>
        </c:rich>
      </c:tx>
      <c:overlay val="0"/>
      <c:spPr>
        <a:solidFill>
          <a:srgbClr val="13326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bg1"/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3326D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ECF1FF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ysClr val="windowText" lastClr="000000"/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C65FF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ysClr val="windowText" lastClr="000000"/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97747636982088"/>
          <c:y val="0.11265531172425916"/>
          <c:w val="0.7503539914489975"/>
          <c:h val="0.75774656380676819"/>
        </c:manualLayout>
      </c:layout>
      <c:doughnutChart>
        <c:varyColors val="1"/>
        <c:ser>
          <c:idx val="0"/>
          <c:order val="0"/>
          <c:tx>
            <c:strRef>
              <c:f>TCD!$H$28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3326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3D-437E-8690-75FB30142C14}"/>
              </c:ext>
            </c:extLst>
          </c:dPt>
          <c:dPt>
            <c:idx val="1"/>
            <c:bubble3D val="0"/>
            <c:spPr>
              <a:solidFill>
                <a:srgbClr val="ECF1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3D-437E-8690-75FB30142C14}"/>
              </c:ext>
            </c:extLst>
          </c:dPt>
          <c:dPt>
            <c:idx val="2"/>
            <c:bubble3D val="0"/>
            <c:spPr>
              <a:solidFill>
                <a:srgbClr val="6C65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3D-437E-8690-75FB30142C14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100" b="0" i="0" u="none" strike="noStrike" kern="1200" baseline="0">
                      <a:solidFill>
                        <a:sysClr val="windowText" lastClr="000000"/>
                      </a:solidFill>
                      <a:latin typeface="Tw Cen MT" panose="020B0602020104020603" pitchFamily="34" charset="0"/>
                      <a:ea typeface="+mn-ea"/>
                      <a:cs typeface="+mn-cs"/>
                    </a:defRPr>
                  </a:pPr>
                  <a:endParaRPr lang="fr-TG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3D-437E-8690-75FB30142C1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100" b="0" i="0" u="none" strike="noStrike" kern="1200" baseline="0">
                      <a:solidFill>
                        <a:sysClr val="windowText" lastClr="000000"/>
                      </a:solidFill>
                      <a:latin typeface="Tw Cen MT" panose="020B0602020104020603" pitchFamily="34" charset="0"/>
                      <a:ea typeface="+mn-ea"/>
                      <a:cs typeface="+mn-cs"/>
                    </a:defRPr>
                  </a:pPr>
                  <a:endParaRPr lang="fr-TG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3D-437E-8690-75FB30142C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endParaRPr lang="fr-T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TCD!$G$29:$G$32</c:f>
              <c:strCache>
                <c:ptCount val="3"/>
                <c:pt idx="0">
                  <c:v>en-attente</c:v>
                </c:pt>
                <c:pt idx="1">
                  <c:v>non-payé</c:v>
                </c:pt>
                <c:pt idx="2">
                  <c:v>payé</c:v>
                </c:pt>
              </c:strCache>
            </c:strRef>
          </c:cat>
          <c:val>
            <c:numRef>
              <c:f>TCD!$H$29:$H$32</c:f>
              <c:numCache>
                <c:formatCode>0%</c:formatCode>
                <c:ptCount val="3"/>
                <c:pt idx="0">
                  <c:v>0.65581395348837213</c:v>
                </c:pt>
                <c:pt idx="1">
                  <c:v>0.11744186046511627</c:v>
                </c:pt>
                <c:pt idx="2">
                  <c:v>0.22674418604651161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3D-437E-8690-75FB3014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w Cen MT" panose="020B0602020104020603" pitchFamily="34" charset="0"/>
              <a:ea typeface="+mn-ea"/>
              <a:cs typeface="+mn-cs"/>
            </a:defRPr>
          </a:pPr>
          <a:endParaRPr lang="fr-T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[Akakpo_kodjo_georges_Data_analyst.xlsx]TCD!Top 5 des produits vendus par montants et quantites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3326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TCD!$E$78</c:f>
              <c:strCache>
                <c:ptCount val="1"/>
                <c:pt idx="0">
                  <c:v>Somme de Montant</c:v>
                </c:pt>
              </c:strCache>
            </c:strRef>
          </c:tx>
          <c:spPr>
            <a:solidFill>
              <a:srgbClr val="13326D"/>
            </a:solidFill>
            <a:ln>
              <a:noFill/>
            </a:ln>
            <a:effectLst/>
          </c:spPr>
          <c:invertIfNegative val="0"/>
          <c:cat>
            <c:strRef>
              <c:f>TCD!$C$79:$C$84</c:f>
              <c:strCache>
                <c:ptCount val="5"/>
                <c:pt idx="0">
                  <c:v>FMC</c:v>
                </c:pt>
                <c:pt idx="1">
                  <c:v>EDU</c:v>
                </c:pt>
                <c:pt idx="2">
                  <c:v>TEL</c:v>
                </c:pt>
                <c:pt idx="3">
                  <c:v>ÉNE</c:v>
                </c:pt>
                <c:pt idx="4">
                  <c:v>AGR</c:v>
                </c:pt>
              </c:strCache>
            </c:strRef>
          </c:cat>
          <c:val>
            <c:numRef>
              <c:f>TCD!$E$79:$E$84</c:f>
              <c:numCache>
                <c:formatCode>0</c:formatCode>
                <c:ptCount val="5"/>
                <c:pt idx="0">
                  <c:v>406136.49000000017</c:v>
                </c:pt>
                <c:pt idx="1">
                  <c:v>345221.98050000006</c:v>
                </c:pt>
                <c:pt idx="2">
                  <c:v>341877.78299999988</c:v>
                </c:pt>
                <c:pt idx="3">
                  <c:v>319444.09000000014</c:v>
                </c:pt>
                <c:pt idx="4">
                  <c:v>308959.8299999999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E-417C-A549-7F272932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axId val="1250632456"/>
        <c:axId val="1250632784"/>
      </c:barChart>
      <c:lineChart>
        <c:grouping val="standard"/>
        <c:varyColors val="0"/>
        <c:ser>
          <c:idx val="0"/>
          <c:order val="0"/>
          <c:tx>
            <c:strRef>
              <c:f>TCD!$D$78</c:f>
              <c:strCache>
                <c:ptCount val="1"/>
                <c:pt idx="0">
                  <c:v>Somme de Quantite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TCD!$C$79:$C$84</c:f>
              <c:strCache>
                <c:ptCount val="5"/>
                <c:pt idx="0">
                  <c:v>FMC</c:v>
                </c:pt>
                <c:pt idx="1">
                  <c:v>EDU</c:v>
                </c:pt>
                <c:pt idx="2">
                  <c:v>TEL</c:v>
                </c:pt>
                <c:pt idx="3">
                  <c:v>ÉNE</c:v>
                </c:pt>
                <c:pt idx="4">
                  <c:v>AGR</c:v>
                </c:pt>
              </c:strCache>
            </c:strRef>
          </c:cat>
          <c:val>
            <c:numRef>
              <c:f>TCD!$D$79:$D$84</c:f>
              <c:numCache>
                <c:formatCode>General</c:formatCode>
                <c:ptCount val="5"/>
                <c:pt idx="0">
                  <c:v>3521</c:v>
                </c:pt>
                <c:pt idx="1">
                  <c:v>2518</c:v>
                </c:pt>
                <c:pt idx="2">
                  <c:v>2509</c:v>
                </c:pt>
                <c:pt idx="3">
                  <c:v>2475</c:v>
                </c:pt>
                <c:pt idx="4">
                  <c:v>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E-417C-A549-7F272932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099872"/>
        <c:axId val="962100856"/>
      </c:lineChart>
      <c:catAx>
        <c:axId val="125063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1250632784"/>
        <c:crosses val="autoZero"/>
        <c:auto val="1"/>
        <c:lblAlgn val="ctr"/>
        <c:lblOffset val="100"/>
        <c:noMultiLvlLbl val="0"/>
      </c:catAx>
      <c:valAx>
        <c:axId val="125063278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fr-TG"/>
          </a:p>
        </c:txPr>
        <c:crossAx val="1250632456"/>
        <c:crosses val="autoZero"/>
        <c:crossBetween val="between"/>
      </c:valAx>
      <c:valAx>
        <c:axId val="962100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962099872"/>
        <c:crosses val="max"/>
        <c:crossBetween val="between"/>
      </c:valAx>
      <c:catAx>
        <c:axId val="96209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2100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[Akakpo_kodjo_georges_Data_analyst.xlsx]TCD!Tendance Mensuelle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bg1"/>
                </a:solidFill>
                <a:latin typeface="Tw Cen MT" panose="020B0602020104020603" pitchFamily="34" charset="0"/>
              </a:rPr>
              <a:t>Evolution des Ventes</a:t>
            </a:r>
          </a:p>
        </c:rich>
      </c:tx>
      <c:overlay val="0"/>
      <c:spPr>
        <a:solidFill>
          <a:srgbClr val="13326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13326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TCD!$H$37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13326D"/>
              </a:solidFill>
              <a:round/>
            </a:ln>
            <a:effectLst/>
          </c:spPr>
          <c:marker>
            <c:symbol val="none"/>
          </c:marker>
          <c:cat>
            <c:strRef>
              <c:f>TCD!$G$38:$G$50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TCD!$H$38:$H$50</c:f>
              <c:numCache>
                <c:formatCode>0</c:formatCode>
                <c:ptCount val="12"/>
                <c:pt idx="0">
                  <c:v>153625.68</c:v>
                </c:pt>
                <c:pt idx="1">
                  <c:v>161427.03000000006</c:v>
                </c:pt>
                <c:pt idx="2">
                  <c:v>156410.00149999998</c:v>
                </c:pt>
                <c:pt idx="3">
                  <c:v>186224.07149999999</c:v>
                </c:pt>
                <c:pt idx="4">
                  <c:v>140600.64300000001</c:v>
                </c:pt>
                <c:pt idx="5">
                  <c:v>134814.47000000003</c:v>
                </c:pt>
                <c:pt idx="6">
                  <c:v>136395.73150000002</c:v>
                </c:pt>
                <c:pt idx="7">
                  <c:v>239198.09999999989</c:v>
                </c:pt>
                <c:pt idx="8">
                  <c:v>141691.23000000001</c:v>
                </c:pt>
                <c:pt idx="9">
                  <c:v>157410.4345</c:v>
                </c:pt>
                <c:pt idx="10">
                  <c:v>48522.18</c:v>
                </c:pt>
                <c:pt idx="11">
                  <c:v>65320.601500000012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F9-43BF-BAF7-394903092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222543304"/>
        <c:axId val="1222539696"/>
      </c:lineChart>
      <c:catAx>
        <c:axId val="1222543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fr-TG"/>
          </a:p>
        </c:txPr>
        <c:crossAx val="1222539696"/>
        <c:crosses val="autoZero"/>
        <c:auto val="1"/>
        <c:lblAlgn val="ctr"/>
        <c:lblOffset val="100"/>
        <c:noMultiLvlLbl val="0"/>
      </c:catAx>
      <c:valAx>
        <c:axId val="122253969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fr-TG"/>
          </a:p>
        </c:txPr>
        <c:crossAx val="1222543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[Akakpo_kodjo_georges_Data_analyst.xlsx]TCD!Le Jour avec plus de vente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bg1"/>
                </a:solidFill>
                <a:latin typeface="Tw Cen MT" panose="020B0602020104020603" pitchFamily="34" charset="0"/>
              </a:rPr>
              <a:t>Jour avec</a:t>
            </a:r>
            <a:r>
              <a:rPr lang="en-US" sz="1800" b="1" baseline="0">
                <a:solidFill>
                  <a:schemeClr val="bg1"/>
                </a:solidFill>
                <a:latin typeface="Tw Cen MT" panose="020B0602020104020603" pitchFamily="34" charset="0"/>
              </a:rPr>
              <a:t> le plus de vente</a:t>
            </a:r>
            <a:endParaRPr lang="en-US" sz="1800" b="1">
              <a:solidFill>
                <a:schemeClr val="bg1"/>
              </a:solidFill>
              <a:latin typeface="Tw Cen MT" panose="020B0602020104020603" pitchFamily="34" charset="0"/>
            </a:endParaRPr>
          </a:p>
        </c:rich>
      </c:tx>
      <c:overlay val="0"/>
      <c:spPr>
        <a:solidFill>
          <a:srgbClr val="13326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3326D"/>
          </a:solidFill>
          <a:ln>
            <a:noFill/>
          </a:ln>
          <a:effectLst/>
        </c:spPr>
      </c:pivotFmt>
      <c:pivotFmt>
        <c:idx val="2"/>
        <c:spPr>
          <a:solidFill>
            <a:srgbClr val="6C65FF"/>
          </a:solidFill>
          <a:ln>
            <a:noFill/>
          </a:ln>
          <a:effectLst/>
        </c:spPr>
      </c:pivotFmt>
      <c:pivotFmt>
        <c:idx val="3"/>
        <c:spPr>
          <a:solidFill>
            <a:srgbClr val="6C65FF"/>
          </a:solidFill>
          <a:ln>
            <a:noFill/>
          </a:ln>
          <a:effectLst/>
        </c:spPr>
      </c:pivotFmt>
      <c:pivotFmt>
        <c:idx val="4"/>
        <c:spPr>
          <a:solidFill>
            <a:srgbClr val="6C65FF"/>
          </a:solidFill>
          <a:ln>
            <a:noFill/>
          </a:ln>
          <a:effectLst/>
        </c:spPr>
      </c:pivotFmt>
      <c:pivotFmt>
        <c:idx val="5"/>
        <c:spPr>
          <a:solidFill>
            <a:srgbClr val="6C65FF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C65FF"/>
          </a:solidFill>
          <a:ln>
            <a:noFill/>
          </a:ln>
          <a:effectLst/>
        </c:spPr>
      </c:pivotFmt>
      <c:pivotFmt>
        <c:idx val="8"/>
        <c:spPr>
          <a:solidFill>
            <a:srgbClr val="6C65FF"/>
          </a:solidFill>
          <a:ln>
            <a:noFill/>
          </a:ln>
          <a:effectLst/>
        </c:spPr>
      </c:pivotFmt>
      <c:pivotFmt>
        <c:idx val="9"/>
        <c:spPr>
          <a:solidFill>
            <a:srgbClr val="6C65FF"/>
          </a:solidFill>
          <a:ln>
            <a:noFill/>
          </a:ln>
          <a:effectLst/>
        </c:spPr>
      </c:pivotFmt>
      <c:pivotFmt>
        <c:idx val="10"/>
        <c:spPr>
          <a:solidFill>
            <a:srgbClr val="13326D"/>
          </a:solidFill>
          <a:ln>
            <a:noFill/>
          </a:ln>
          <a:effectLst/>
        </c:spPr>
      </c:pivotFmt>
      <c:pivotFmt>
        <c:idx val="11"/>
        <c:spPr>
          <a:solidFill>
            <a:srgbClr val="6C65FF"/>
          </a:solidFill>
          <a:ln>
            <a:noFill/>
          </a:ln>
          <a:effectLst/>
        </c:spPr>
      </c:pivotFmt>
      <c:pivotFmt>
        <c:idx val="12"/>
        <c:spPr>
          <a:solidFill>
            <a:srgbClr val="13326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Tw Cen MT" panose="020B0602020104020603" pitchFamily="34" charset="0"/>
                  <a:ea typeface="+mn-ea"/>
                  <a:cs typeface="+mn-cs"/>
                </a:defRPr>
              </a:pPr>
              <a:endParaRPr lang="fr-T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13326D"/>
          </a:solidFill>
          <a:ln>
            <a:noFill/>
          </a:ln>
          <a:effectLst/>
        </c:spPr>
      </c:pivotFmt>
      <c:pivotFmt>
        <c:idx val="14"/>
        <c:spPr>
          <a:solidFill>
            <a:srgbClr val="13326D"/>
          </a:solidFill>
          <a:ln>
            <a:noFill/>
          </a:ln>
          <a:effectLst/>
        </c:spPr>
      </c:pivotFmt>
      <c:pivotFmt>
        <c:idx val="15"/>
        <c:spPr>
          <a:solidFill>
            <a:srgbClr val="13326D"/>
          </a:solidFill>
          <a:ln>
            <a:noFill/>
          </a:ln>
          <a:effectLst/>
        </c:spPr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rgbClr val="13326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TCD!$D$55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3326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1332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0-41D5-968E-66900BC5096F}"/>
              </c:ext>
            </c:extLst>
          </c:dPt>
          <c:dPt>
            <c:idx val="3"/>
            <c:invertIfNegative val="0"/>
            <c:bubble3D val="0"/>
            <c:spPr>
              <a:solidFill>
                <a:srgbClr val="1332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40-41D5-968E-66900BC5096F}"/>
              </c:ext>
            </c:extLst>
          </c:dPt>
          <c:dPt>
            <c:idx val="4"/>
            <c:invertIfNegative val="0"/>
            <c:bubble3D val="0"/>
            <c:spPr>
              <a:solidFill>
                <a:srgbClr val="1332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40-41D5-968E-66900BC5096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40-41D5-968E-66900BC5096F}"/>
              </c:ext>
            </c:extLst>
          </c:dPt>
          <c:dPt>
            <c:idx val="6"/>
            <c:invertIfNegative val="0"/>
            <c:bubble3D val="0"/>
            <c:spPr>
              <a:solidFill>
                <a:srgbClr val="13326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40-41D5-968E-66900BC509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0"/>
                    <a:ea typeface="+mn-ea"/>
                    <a:cs typeface="+mn-cs"/>
                  </a:defRPr>
                </a:pPr>
                <a:endParaRPr lang="fr-T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TCD!$C$56:$C$63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TCD!$D$56:$D$63</c:f>
              <c:numCache>
                <c:formatCode>0</c:formatCode>
                <c:ptCount val="7"/>
                <c:pt idx="0">
                  <c:v>247388.48149999999</c:v>
                </c:pt>
                <c:pt idx="1">
                  <c:v>263966.33299999998</c:v>
                </c:pt>
                <c:pt idx="2">
                  <c:v>235849.89150000006</c:v>
                </c:pt>
                <c:pt idx="3">
                  <c:v>254223.17450000002</c:v>
                </c:pt>
                <c:pt idx="4">
                  <c:v>220665.24149999997</c:v>
                </c:pt>
                <c:pt idx="5">
                  <c:v>268677.97150000004</c:v>
                </c:pt>
                <c:pt idx="6">
                  <c:v>230869.07999999993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40-41D5-968E-66900BC50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458816"/>
        <c:axId val="1289460784"/>
      </c:barChart>
      <c:catAx>
        <c:axId val="128945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fr-TG"/>
          </a:p>
        </c:txPr>
        <c:crossAx val="1289460784"/>
        <c:crosses val="autoZero"/>
        <c:auto val="1"/>
        <c:lblAlgn val="ctr"/>
        <c:lblOffset val="100"/>
        <c:noMultiLvlLbl val="0"/>
      </c:catAx>
      <c:valAx>
        <c:axId val="128946078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fr-TG"/>
          </a:p>
        </c:txPr>
        <c:crossAx val="128945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hyperlink" Target="#Suivi!A1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16144</xdr:rowOff>
    </xdr:from>
    <xdr:to>
      <xdr:col>7</xdr:col>
      <xdr:colOff>500466</xdr:colOff>
      <xdr:row>23</xdr:row>
      <xdr:rowOff>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2118A97-A20F-4B60-9F12-59F16D98AECF}"/>
            </a:ext>
          </a:extLst>
        </xdr:cNvPr>
        <xdr:cNvSpPr/>
      </xdr:nvSpPr>
      <xdr:spPr>
        <a:xfrm>
          <a:off x="0" y="16144"/>
          <a:ext cx="5811864" cy="4439620"/>
        </a:xfrm>
        <a:custGeom>
          <a:avLst/>
          <a:gdLst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4084448 w 4084448"/>
            <a:gd name="connsiteY2" fmla="*/ 3035085 h 3035085"/>
            <a:gd name="connsiteX3" fmla="*/ 0 w 4084448"/>
            <a:gd name="connsiteY3" fmla="*/ 3035085 h 3035085"/>
            <a:gd name="connsiteX4" fmla="*/ 0 w 4084448"/>
            <a:gd name="connsiteY4" fmla="*/ 0 h 3035085"/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1356101 w 4084448"/>
            <a:gd name="connsiteY2" fmla="*/ 952500 h 3035085"/>
            <a:gd name="connsiteX3" fmla="*/ 0 w 4084448"/>
            <a:gd name="connsiteY3" fmla="*/ 3035085 h 3035085"/>
            <a:gd name="connsiteX4" fmla="*/ 0 w 4084448"/>
            <a:gd name="connsiteY4" fmla="*/ 0 h 303508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084448" h="3035085">
              <a:moveTo>
                <a:pt x="0" y="0"/>
              </a:moveTo>
              <a:lnTo>
                <a:pt x="4084448" y="0"/>
              </a:lnTo>
              <a:lnTo>
                <a:pt x="1356101" y="952500"/>
              </a:lnTo>
              <a:lnTo>
                <a:pt x="0" y="3035085"/>
              </a:lnTo>
              <a:lnTo>
                <a:pt x="0" y="0"/>
              </a:lnTo>
              <a:close/>
            </a:path>
          </a:pathLst>
        </a:cu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218268</xdr:colOff>
      <xdr:row>2</xdr:row>
      <xdr:rowOff>18677</xdr:rowOff>
    </xdr:from>
    <xdr:to>
      <xdr:col>19</xdr:col>
      <xdr:colOff>392206</xdr:colOff>
      <xdr:row>63</xdr:row>
      <xdr:rowOff>86592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7B0E0563-A844-4EF6-BD6C-BA0CB0C490A5}"/>
            </a:ext>
          </a:extLst>
        </xdr:cNvPr>
        <xdr:cNvSpPr/>
      </xdr:nvSpPr>
      <xdr:spPr>
        <a:xfrm>
          <a:off x="984003" y="392206"/>
          <a:ext cx="13957174" cy="11460562"/>
        </a:xfrm>
        <a:prstGeom prst="roundRect">
          <a:avLst>
            <a:gd name="adj" fmla="val 5061"/>
          </a:avLst>
        </a:prstGeom>
        <a:solidFill>
          <a:srgbClr val="ECF1FF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3</xdr:col>
      <xdr:colOff>380844</xdr:colOff>
      <xdr:row>10</xdr:row>
      <xdr:rowOff>182517</xdr:rowOff>
    </xdr:from>
    <xdr:to>
      <xdr:col>6</xdr:col>
      <xdr:colOff>628391</xdr:colOff>
      <xdr:row>19</xdr:row>
      <xdr:rowOff>101564</xdr:rowOff>
    </xdr:to>
    <xdr:sp macro="" textlink="">
      <xdr:nvSpPr>
        <xdr:cNvPr id="23" name="Rectangle : coins arrondis 22">
          <a:extLst>
            <a:ext uri="{FF2B5EF4-FFF2-40B4-BE49-F238E27FC236}">
              <a16:creationId xmlns:a16="http://schemas.microsoft.com/office/drawing/2014/main" id="{42D9573B-DAFB-4A9D-8E55-0CAA6111AC5B}"/>
            </a:ext>
          </a:extLst>
        </xdr:cNvPr>
        <xdr:cNvSpPr/>
      </xdr:nvSpPr>
      <xdr:spPr>
        <a:xfrm>
          <a:off x="2658561" y="2115126"/>
          <a:ext cx="2525265" cy="165839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454602</xdr:colOff>
      <xdr:row>20</xdr:row>
      <xdr:rowOff>130735</xdr:rowOff>
    </xdr:from>
    <xdr:to>
      <xdr:col>10</xdr:col>
      <xdr:colOff>504265</xdr:colOff>
      <xdr:row>38</xdr:row>
      <xdr:rowOff>129886</xdr:rowOff>
    </xdr:to>
    <xdr:sp macro="" textlink="">
      <xdr:nvSpPr>
        <xdr:cNvPr id="27" name="Rectangle : coins arrondis 26">
          <a:extLst>
            <a:ext uri="{FF2B5EF4-FFF2-40B4-BE49-F238E27FC236}">
              <a16:creationId xmlns:a16="http://schemas.microsoft.com/office/drawing/2014/main" id="{C84100B9-8435-4F02-B612-0C418C40B584}"/>
            </a:ext>
          </a:extLst>
        </xdr:cNvPr>
        <xdr:cNvSpPr/>
      </xdr:nvSpPr>
      <xdr:spPr>
        <a:xfrm>
          <a:off x="2751808" y="3866029"/>
          <a:ext cx="5409810" cy="3360916"/>
        </a:xfrm>
        <a:prstGeom prst="roundRect">
          <a:avLst>
            <a:gd name="adj" fmla="val 3523"/>
          </a:avLst>
        </a:prstGeom>
        <a:solidFill>
          <a:schemeClr val="bg1"/>
        </a:solidFill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10</xdr:col>
      <xdr:colOff>691029</xdr:colOff>
      <xdr:row>20</xdr:row>
      <xdr:rowOff>104278</xdr:rowOff>
    </xdr:from>
    <xdr:to>
      <xdr:col>17</xdr:col>
      <xdr:colOff>363342</xdr:colOff>
      <xdr:row>38</xdr:row>
      <xdr:rowOff>151533</xdr:rowOff>
    </xdr:to>
    <xdr:sp macro="" textlink="">
      <xdr:nvSpPr>
        <xdr:cNvPr id="30" name="Rectangle : coins arrondis 29">
          <a:extLst>
            <a:ext uri="{FF2B5EF4-FFF2-40B4-BE49-F238E27FC236}">
              <a16:creationId xmlns:a16="http://schemas.microsoft.com/office/drawing/2014/main" id="{7B497D9A-5B86-403F-8D9D-D4F54A5F9A8A}"/>
            </a:ext>
          </a:extLst>
        </xdr:cNvPr>
        <xdr:cNvSpPr/>
      </xdr:nvSpPr>
      <xdr:spPr>
        <a:xfrm>
          <a:off x="8348382" y="3839572"/>
          <a:ext cx="5032460" cy="3409020"/>
        </a:xfrm>
        <a:prstGeom prst="roundRect">
          <a:avLst>
            <a:gd name="adj" fmla="val 3529"/>
          </a:avLst>
        </a:prstGeom>
        <a:solidFill>
          <a:schemeClr val="bg1"/>
        </a:solidFill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389660</xdr:colOff>
      <xdr:row>40</xdr:row>
      <xdr:rowOff>151476</xdr:rowOff>
    </xdr:from>
    <xdr:to>
      <xdr:col>11</xdr:col>
      <xdr:colOff>259773</xdr:colOff>
      <xdr:row>60</xdr:row>
      <xdr:rowOff>86591</xdr:rowOff>
    </xdr:to>
    <xdr:sp macro="" textlink="">
      <xdr:nvSpPr>
        <xdr:cNvPr id="32" name="Rectangle : coins arrondis 31">
          <a:extLst>
            <a:ext uri="{FF2B5EF4-FFF2-40B4-BE49-F238E27FC236}">
              <a16:creationId xmlns:a16="http://schemas.microsoft.com/office/drawing/2014/main" id="{9D7CFB30-8745-4CB1-8559-6C05735A2A95}"/>
            </a:ext>
          </a:extLst>
        </xdr:cNvPr>
        <xdr:cNvSpPr/>
      </xdr:nvSpPr>
      <xdr:spPr>
        <a:xfrm>
          <a:off x="2662671" y="7944658"/>
          <a:ext cx="5931477" cy="3831706"/>
        </a:xfrm>
        <a:prstGeom prst="roundRect">
          <a:avLst>
            <a:gd name="adj" fmla="val 2919"/>
          </a:avLst>
        </a:prstGeom>
        <a:solidFill>
          <a:schemeClr val="bg1"/>
        </a:solidFill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667387</xdr:colOff>
      <xdr:row>10</xdr:row>
      <xdr:rowOff>141444</xdr:rowOff>
    </xdr:from>
    <xdr:to>
      <xdr:col>10</xdr:col>
      <xdr:colOff>158456</xdr:colOff>
      <xdr:row>19</xdr:row>
      <xdr:rowOff>61111</xdr:rowOff>
    </xdr:to>
    <xdr:sp macro="" textlink="">
      <xdr:nvSpPr>
        <xdr:cNvPr id="34" name="Rectangle : coins arrondis 33">
          <a:extLst>
            <a:ext uri="{FF2B5EF4-FFF2-40B4-BE49-F238E27FC236}">
              <a16:creationId xmlns:a16="http://schemas.microsoft.com/office/drawing/2014/main" id="{449BFBE1-EE0C-44E8-87D4-271970CD2D67}"/>
            </a:ext>
          </a:extLst>
        </xdr:cNvPr>
        <xdr:cNvSpPr/>
      </xdr:nvSpPr>
      <xdr:spPr>
        <a:xfrm>
          <a:off x="5222822" y="2074053"/>
          <a:ext cx="2528025" cy="165901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347495</xdr:colOff>
      <xdr:row>10</xdr:row>
      <xdr:rowOff>136719</xdr:rowOff>
    </xdr:from>
    <xdr:to>
      <xdr:col>13</xdr:col>
      <xdr:colOff>595663</xdr:colOff>
      <xdr:row>19</xdr:row>
      <xdr:rowOff>53626</xdr:rowOff>
    </xdr:to>
    <xdr:sp macro="" textlink="">
      <xdr:nvSpPr>
        <xdr:cNvPr id="35" name="Rectangle : coins arrondis 34">
          <a:extLst>
            <a:ext uri="{FF2B5EF4-FFF2-40B4-BE49-F238E27FC236}">
              <a16:creationId xmlns:a16="http://schemas.microsoft.com/office/drawing/2014/main" id="{58845C4C-2D76-493D-8095-82657C208049}"/>
            </a:ext>
          </a:extLst>
        </xdr:cNvPr>
        <xdr:cNvSpPr/>
      </xdr:nvSpPr>
      <xdr:spPr>
        <a:xfrm>
          <a:off x="7939886" y="2069328"/>
          <a:ext cx="2525886" cy="165625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346364</xdr:colOff>
      <xdr:row>39</xdr:row>
      <xdr:rowOff>43296</xdr:rowOff>
    </xdr:from>
    <xdr:to>
      <xdr:col>18</xdr:col>
      <xdr:colOff>37353</xdr:colOff>
      <xdr:row>40</xdr:row>
      <xdr:rowOff>37353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AF46CDC-DF15-4BAE-96C8-A8F8D824F2F7}"/>
            </a:ext>
          </a:extLst>
        </xdr:cNvPr>
        <xdr:cNvSpPr/>
      </xdr:nvSpPr>
      <xdr:spPr>
        <a:xfrm>
          <a:off x="2643570" y="7327120"/>
          <a:ext cx="11177018" cy="180821"/>
        </a:xfrm>
        <a:prstGeom prst="rect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17</xdr:col>
      <xdr:colOff>672353</xdr:colOff>
      <xdr:row>21</xdr:row>
      <xdr:rowOff>35994</xdr:rowOff>
    </xdr:from>
    <xdr:to>
      <xdr:col>18</xdr:col>
      <xdr:colOff>101447</xdr:colOff>
      <xdr:row>40</xdr:row>
      <xdr:rowOff>14347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739E8ED-3F13-4A38-8C0A-94F68A58E6D8}"/>
            </a:ext>
          </a:extLst>
        </xdr:cNvPr>
        <xdr:cNvSpPr/>
      </xdr:nvSpPr>
      <xdr:spPr>
        <a:xfrm>
          <a:off x="13689853" y="3958053"/>
          <a:ext cx="194829" cy="3526882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1</xdr:col>
      <xdr:colOff>216476</xdr:colOff>
      <xdr:row>4</xdr:row>
      <xdr:rowOff>0</xdr:rowOff>
    </xdr:from>
    <xdr:to>
      <xdr:col>2</xdr:col>
      <xdr:colOff>541617</xdr:colOff>
      <xdr:row>60</xdr:row>
      <xdr:rowOff>74706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3751E4B7-5C50-4C91-97DF-79CD9A54DDA7}"/>
            </a:ext>
          </a:extLst>
        </xdr:cNvPr>
        <xdr:cNvSpPr/>
      </xdr:nvSpPr>
      <xdr:spPr>
        <a:xfrm>
          <a:off x="982211" y="747059"/>
          <a:ext cx="1090877" cy="10533529"/>
        </a:xfrm>
        <a:prstGeom prst="rect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5</xdr:col>
      <xdr:colOff>64576</xdr:colOff>
      <xdr:row>17</xdr:row>
      <xdr:rowOff>113009</xdr:rowOff>
    </xdr:to>
    <xdr:sp macro="" textlink="">
      <xdr:nvSpPr>
        <xdr:cNvPr id="12" name="Rectangle 9">
          <a:extLst>
            <a:ext uri="{FF2B5EF4-FFF2-40B4-BE49-F238E27FC236}">
              <a16:creationId xmlns:a16="http://schemas.microsoft.com/office/drawing/2014/main" id="{018C1F17-4F29-48DF-98B6-A55A1AB5696A}"/>
            </a:ext>
          </a:extLst>
        </xdr:cNvPr>
        <xdr:cNvSpPr/>
      </xdr:nvSpPr>
      <xdr:spPr>
        <a:xfrm>
          <a:off x="0" y="1"/>
          <a:ext cx="3858432" cy="3406398"/>
        </a:xfrm>
        <a:custGeom>
          <a:avLst/>
          <a:gdLst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4084448 w 4084448"/>
            <a:gd name="connsiteY2" fmla="*/ 3035085 h 3035085"/>
            <a:gd name="connsiteX3" fmla="*/ 0 w 4084448"/>
            <a:gd name="connsiteY3" fmla="*/ 3035085 h 3035085"/>
            <a:gd name="connsiteX4" fmla="*/ 0 w 4084448"/>
            <a:gd name="connsiteY4" fmla="*/ 0 h 3035085"/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1356101 w 4084448"/>
            <a:gd name="connsiteY2" fmla="*/ 952500 h 3035085"/>
            <a:gd name="connsiteX3" fmla="*/ 0 w 4084448"/>
            <a:gd name="connsiteY3" fmla="*/ 3035085 h 3035085"/>
            <a:gd name="connsiteX4" fmla="*/ 0 w 4084448"/>
            <a:gd name="connsiteY4" fmla="*/ 0 h 303508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084448" h="3035085">
              <a:moveTo>
                <a:pt x="0" y="0"/>
              </a:moveTo>
              <a:lnTo>
                <a:pt x="4084448" y="0"/>
              </a:lnTo>
              <a:lnTo>
                <a:pt x="1356101" y="952500"/>
              </a:lnTo>
              <a:lnTo>
                <a:pt x="0" y="3035085"/>
              </a:lnTo>
              <a:lnTo>
                <a:pt x="0" y="0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3</xdr:col>
      <xdr:colOff>584490</xdr:colOff>
      <xdr:row>21</xdr:row>
      <xdr:rowOff>21649</xdr:rowOff>
    </xdr:from>
    <xdr:to>
      <xdr:col>10</xdr:col>
      <xdr:colOff>317500</xdr:colOff>
      <xdr:row>38</xdr:row>
      <xdr:rowOff>18676</xdr:rowOff>
    </xdr:to>
    <xdr:graphicFrame macro="">
      <xdr:nvGraphicFramePr>
        <xdr:cNvPr id="45" name="Graphique 44">
          <a:extLst>
            <a:ext uri="{FF2B5EF4-FFF2-40B4-BE49-F238E27FC236}">
              <a16:creationId xmlns:a16="http://schemas.microsoft.com/office/drawing/2014/main" id="{9927981A-48F4-478A-ACF1-691A84946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112060</xdr:colOff>
      <xdr:row>21</xdr:row>
      <xdr:rowOff>149412</xdr:rowOff>
    </xdr:from>
    <xdr:to>
      <xdr:col>17</xdr:col>
      <xdr:colOff>277626</xdr:colOff>
      <xdr:row>38</xdr:row>
      <xdr:rowOff>60387</xdr:rowOff>
    </xdr:to>
    <xdr:graphicFrame macro="">
      <xdr:nvGraphicFramePr>
        <xdr:cNvPr id="46" name="Graphique 45">
          <a:extLst>
            <a:ext uri="{FF2B5EF4-FFF2-40B4-BE49-F238E27FC236}">
              <a16:creationId xmlns:a16="http://schemas.microsoft.com/office/drawing/2014/main" id="{55322116-B263-4488-B85A-326D6342C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368012</xdr:colOff>
      <xdr:row>40</xdr:row>
      <xdr:rowOff>93383</xdr:rowOff>
    </xdr:from>
    <xdr:to>
      <xdr:col>18</xdr:col>
      <xdr:colOff>0</xdr:colOff>
      <xdr:row>60</xdr:row>
      <xdr:rowOff>64942</xdr:rowOff>
    </xdr:to>
    <xdr:sp macro="" textlink="">
      <xdr:nvSpPr>
        <xdr:cNvPr id="48" name="Rectangle : coins arrondis 47">
          <a:extLst>
            <a:ext uri="{FF2B5EF4-FFF2-40B4-BE49-F238E27FC236}">
              <a16:creationId xmlns:a16="http://schemas.microsoft.com/office/drawing/2014/main" id="{F336D8DF-841C-4973-B59C-ADDE46E43C9E}"/>
            </a:ext>
          </a:extLst>
        </xdr:cNvPr>
        <xdr:cNvSpPr/>
      </xdr:nvSpPr>
      <xdr:spPr>
        <a:xfrm>
          <a:off x="8791100" y="7563971"/>
          <a:ext cx="4992135" cy="3706853"/>
        </a:xfrm>
        <a:prstGeom prst="roundRect">
          <a:avLst>
            <a:gd name="adj" fmla="val 3523"/>
          </a:avLst>
        </a:prstGeom>
        <a:solidFill>
          <a:schemeClr val="bg1"/>
        </a:solidFill>
        <a:ln>
          <a:solidFill>
            <a:schemeClr val="bg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450850</xdr:colOff>
      <xdr:row>41</xdr:row>
      <xdr:rowOff>38152</xdr:rowOff>
    </xdr:from>
    <xdr:to>
      <xdr:col>17</xdr:col>
      <xdr:colOff>645241</xdr:colOff>
      <xdr:row>59</xdr:row>
      <xdr:rowOff>159038</xdr:rowOff>
    </xdr:to>
    <xdr:graphicFrame macro="">
      <xdr:nvGraphicFramePr>
        <xdr:cNvPr id="49" name="Graphique 48">
          <a:extLst>
            <a:ext uri="{FF2B5EF4-FFF2-40B4-BE49-F238E27FC236}">
              <a16:creationId xmlns:a16="http://schemas.microsoft.com/office/drawing/2014/main" id="{A3CC1D3A-1852-43EE-B477-3F6BA12DA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541618</xdr:colOff>
      <xdr:row>41</xdr:row>
      <xdr:rowOff>130735</xdr:rowOff>
    </xdr:from>
    <xdr:to>
      <xdr:col>11</xdr:col>
      <xdr:colOff>149411</xdr:colOff>
      <xdr:row>59</xdr:row>
      <xdr:rowOff>112057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C696940C-C945-4971-9408-5D3351905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317501</xdr:colOff>
      <xdr:row>15</xdr:row>
      <xdr:rowOff>168087</xdr:rowOff>
    </xdr:from>
    <xdr:to>
      <xdr:col>5</xdr:col>
      <xdr:colOff>709706</xdr:colOff>
      <xdr:row>18</xdr:row>
      <xdr:rowOff>18676</xdr:rowOff>
    </xdr:to>
    <xdr:sp macro="" textlink="TCD!C16">
      <xdr:nvSpPr>
        <xdr:cNvPr id="2" name="ZoneTexte 1">
          <a:extLst>
            <a:ext uri="{FF2B5EF4-FFF2-40B4-BE49-F238E27FC236}">
              <a16:creationId xmlns:a16="http://schemas.microsoft.com/office/drawing/2014/main" id="{24FAFED0-4313-4A13-973D-C3434353D706}"/>
            </a:ext>
          </a:extLst>
        </xdr:cNvPr>
        <xdr:cNvSpPr txBox="1"/>
      </xdr:nvSpPr>
      <xdr:spPr>
        <a:xfrm>
          <a:off x="3380442" y="2969558"/>
          <a:ext cx="1157940" cy="4108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DB9D816-9A20-4823-969C-6266EAEB2ECF}" type="TxLink">
            <a:rPr lang="en-US" sz="3200" b="1" i="0" u="none" strike="noStrike">
              <a:solidFill>
                <a:srgbClr val="000000"/>
              </a:solidFill>
              <a:latin typeface="Tw Cen MT" panose="020B0602020104020603" pitchFamily="34" charset="0"/>
              <a:cs typeface="Calibri"/>
            </a:rPr>
            <a:pPr algn="ctr"/>
            <a:t>1648</a:t>
          </a:fld>
          <a:endParaRPr lang="fr-TG" sz="3200" b="1">
            <a:latin typeface="Tw Cen MT" panose="020B0602020104020603" pitchFamily="34" charset="0"/>
          </a:endParaRPr>
        </a:p>
      </xdr:txBody>
    </xdr:sp>
    <xdr:clientData/>
  </xdr:twoCellAnchor>
  <xdr:twoCellAnchor>
    <xdr:from>
      <xdr:col>9</xdr:col>
      <xdr:colOff>168088</xdr:colOff>
      <xdr:row>10</xdr:row>
      <xdr:rowOff>112058</xdr:rowOff>
    </xdr:from>
    <xdr:to>
      <xdr:col>10</xdr:col>
      <xdr:colOff>0</xdr:colOff>
      <xdr:row>13</xdr:row>
      <xdr:rowOff>74706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4605248D-B9E2-4C3A-8040-66A299B0F13B}"/>
            </a:ext>
          </a:extLst>
        </xdr:cNvPr>
        <xdr:cNvSpPr/>
      </xdr:nvSpPr>
      <xdr:spPr>
        <a:xfrm>
          <a:off x="7059706" y="1979705"/>
          <a:ext cx="597647" cy="522942"/>
        </a:xfrm>
        <a:prstGeom prst="ellipse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12</xdr:col>
      <xdr:colOff>547594</xdr:colOff>
      <xdr:row>10</xdr:row>
      <xdr:rowOff>24652</xdr:rowOff>
    </xdr:from>
    <xdr:to>
      <xdr:col>13</xdr:col>
      <xdr:colOff>379506</xdr:colOff>
      <xdr:row>12</xdr:row>
      <xdr:rowOff>174065</xdr:rowOff>
    </xdr:to>
    <xdr:sp macro="" textlink="">
      <xdr:nvSpPr>
        <xdr:cNvPr id="25" name="Ellipse 24">
          <a:extLst>
            <a:ext uri="{FF2B5EF4-FFF2-40B4-BE49-F238E27FC236}">
              <a16:creationId xmlns:a16="http://schemas.microsoft.com/office/drawing/2014/main" id="{25452DA1-3AC8-488D-BC6D-100415335823}"/>
            </a:ext>
          </a:extLst>
        </xdr:cNvPr>
        <xdr:cNvSpPr/>
      </xdr:nvSpPr>
      <xdr:spPr>
        <a:xfrm>
          <a:off x="9736418" y="1892299"/>
          <a:ext cx="597647" cy="522942"/>
        </a:xfrm>
        <a:prstGeom prst="ellipse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525931</xdr:colOff>
      <xdr:row>15</xdr:row>
      <xdr:rowOff>96370</xdr:rowOff>
    </xdr:from>
    <xdr:to>
      <xdr:col>9</xdr:col>
      <xdr:colOff>410882</xdr:colOff>
      <xdr:row>17</xdr:row>
      <xdr:rowOff>130737</xdr:rowOff>
    </xdr:to>
    <xdr:sp macro="" textlink="TCD!C70">
      <xdr:nvSpPr>
        <xdr:cNvPr id="28" name="ZoneTexte 27">
          <a:extLst>
            <a:ext uri="{FF2B5EF4-FFF2-40B4-BE49-F238E27FC236}">
              <a16:creationId xmlns:a16="http://schemas.microsoft.com/office/drawing/2014/main" id="{A6B6F9EF-5121-48D5-B0B5-3AAF5B7C545E}"/>
            </a:ext>
          </a:extLst>
        </xdr:cNvPr>
        <xdr:cNvSpPr txBox="1"/>
      </xdr:nvSpPr>
      <xdr:spPr>
        <a:xfrm>
          <a:off x="5886078" y="2897841"/>
          <a:ext cx="1416422" cy="4078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89943EF-B9FC-4B28-A4BB-F7497FCA50C6}" type="TxLink">
            <a:rPr lang="en-US" sz="3200" b="1" i="0" u="none" strike="noStrike">
              <a:solidFill>
                <a:srgbClr val="000000"/>
              </a:solidFill>
              <a:latin typeface="Tw Cen MT" panose="020B0602020104020603" pitchFamily="34" charset="0"/>
              <a:ea typeface="+mn-ea"/>
              <a:cs typeface="Calibri"/>
            </a:rPr>
            <a:pPr marL="0" indent="0" algn="ctr"/>
            <a:t>13314</a:t>
          </a:fld>
          <a:endParaRPr lang="fr-TG" sz="3200" b="1" i="0" u="none" strike="noStrike">
            <a:solidFill>
              <a:srgbClr val="000000"/>
            </a:solidFill>
            <a:latin typeface="Tw Cen MT" panose="020B06020201040206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40340</xdr:colOff>
      <xdr:row>11</xdr:row>
      <xdr:rowOff>133722</xdr:rowOff>
    </xdr:from>
    <xdr:to>
      <xdr:col>9</xdr:col>
      <xdr:colOff>712694</xdr:colOff>
      <xdr:row>14</xdr:row>
      <xdr:rowOff>152400</xdr:rowOff>
    </xdr:to>
    <xdr:sp macro="" textlink="">
      <xdr:nvSpPr>
        <xdr:cNvPr id="29" name="Organigramme : Terminateur 28">
          <a:extLst>
            <a:ext uri="{FF2B5EF4-FFF2-40B4-BE49-F238E27FC236}">
              <a16:creationId xmlns:a16="http://schemas.microsoft.com/office/drawing/2014/main" id="{14F5CFCA-91FE-41BC-94C5-CAF6FE5A3789}"/>
            </a:ext>
          </a:extLst>
        </xdr:cNvPr>
        <xdr:cNvSpPr/>
      </xdr:nvSpPr>
      <xdr:spPr>
        <a:xfrm>
          <a:off x="5400487" y="2188134"/>
          <a:ext cx="2203825" cy="578972"/>
        </a:xfrm>
        <a:prstGeom prst="flowChartTerminator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000" b="1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Qte</a:t>
          </a:r>
          <a:r>
            <a:rPr lang="en-US" sz="2000" b="1" baseline="0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 Moyenne</a:t>
          </a:r>
          <a:endParaRPr lang="fr-TG" sz="2000" b="1">
            <a:solidFill>
              <a:sysClr val="windowText" lastClr="000000"/>
            </a:solidFill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528917</xdr:colOff>
      <xdr:row>11</xdr:row>
      <xdr:rowOff>118034</xdr:rowOff>
    </xdr:from>
    <xdr:to>
      <xdr:col>13</xdr:col>
      <xdr:colOff>435536</xdr:colOff>
      <xdr:row>14</xdr:row>
      <xdr:rowOff>136712</xdr:rowOff>
    </xdr:to>
    <xdr:sp macro="" textlink="">
      <xdr:nvSpPr>
        <xdr:cNvPr id="31" name="Organigramme : Terminateur 30">
          <a:extLst>
            <a:ext uri="{FF2B5EF4-FFF2-40B4-BE49-F238E27FC236}">
              <a16:creationId xmlns:a16="http://schemas.microsoft.com/office/drawing/2014/main" id="{F31FA809-43E8-4910-BFE4-D987D2AC9BBD}"/>
            </a:ext>
          </a:extLst>
        </xdr:cNvPr>
        <xdr:cNvSpPr/>
      </xdr:nvSpPr>
      <xdr:spPr>
        <a:xfrm>
          <a:off x="8186270" y="2172446"/>
          <a:ext cx="2203825" cy="578972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000" b="1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Outliers</a:t>
          </a:r>
          <a:endParaRPr lang="fr-TG" sz="2000" b="1">
            <a:solidFill>
              <a:sysClr val="windowText" lastClr="000000"/>
            </a:solidFill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21665</xdr:colOff>
      <xdr:row>10</xdr:row>
      <xdr:rowOff>133723</xdr:rowOff>
    </xdr:from>
    <xdr:to>
      <xdr:col>6</xdr:col>
      <xdr:colOff>619312</xdr:colOff>
      <xdr:row>13</xdr:row>
      <xdr:rowOff>96371</xdr:rowOff>
    </xdr:to>
    <xdr:sp macro="" textlink="">
      <xdr:nvSpPr>
        <xdr:cNvPr id="33" name="Ellipse 32">
          <a:extLst>
            <a:ext uri="{FF2B5EF4-FFF2-40B4-BE49-F238E27FC236}">
              <a16:creationId xmlns:a16="http://schemas.microsoft.com/office/drawing/2014/main" id="{8F731161-B6B9-4728-ACCB-A56AC6D39884}"/>
            </a:ext>
          </a:extLst>
        </xdr:cNvPr>
        <xdr:cNvSpPr/>
      </xdr:nvSpPr>
      <xdr:spPr>
        <a:xfrm>
          <a:off x="4616077" y="2001370"/>
          <a:ext cx="597647" cy="522942"/>
        </a:xfrm>
        <a:prstGeom prst="ellipse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3</xdr:col>
      <xdr:colOff>597645</xdr:colOff>
      <xdr:row>11</xdr:row>
      <xdr:rowOff>112057</xdr:rowOff>
    </xdr:from>
    <xdr:to>
      <xdr:col>6</xdr:col>
      <xdr:colOff>448235</xdr:colOff>
      <xdr:row>15</xdr:row>
      <xdr:rowOff>0</xdr:rowOff>
    </xdr:to>
    <xdr:sp macro="" textlink="">
      <xdr:nvSpPr>
        <xdr:cNvPr id="6" name="Organigramme : Terminateur 5">
          <a:extLst>
            <a:ext uri="{FF2B5EF4-FFF2-40B4-BE49-F238E27FC236}">
              <a16:creationId xmlns:a16="http://schemas.microsoft.com/office/drawing/2014/main" id="{DDDDA76B-990E-4287-9689-BF837F3AA47B}"/>
            </a:ext>
          </a:extLst>
        </xdr:cNvPr>
        <xdr:cNvSpPr/>
      </xdr:nvSpPr>
      <xdr:spPr>
        <a:xfrm>
          <a:off x="2894851" y="2166469"/>
          <a:ext cx="2147796" cy="635002"/>
        </a:xfrm>
        <a:prstGeom prst="flowChartTerminator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000" b="1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Montant Median</a:t>
          </a:r>
          <a:endParaRPr lang="fr-TG" sz="2000" b="1">
            <a:solidFill>
              <a:sysClr val="windowText" lastClr="000000"/>
            </a:solidFill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423707</xdr:colOff>
      <xdr:row>3</xdr:row>
      <xdr:rowOff>130736</xdr:rowOff>
    </xdr:from>
    <xdr:to>
      <xdr:col>8</xdr:col>
      <xdr:colOff>504264</xdr:colOff>
      <xdr:row>9</xdr:row>
      <xdr:rowOff>37353</xdr:rowOff>
    </xdr:to>
    <xdr:sp macro="" textlink="">
      <xdr:nvSpPr>
        <xdr:cNvPr id="47" name="ZoneTexte 46">
          <a:extLst>
            <a:ext uri="{FF2B5EF4-FFF2-40B4-BE49-F238E27FC236}">
              <a16:creationId xmlns:a16="http://schemas.microsoft.com/office/drawing/2014/main" id="{D499E502-A986-42E8-AEA4-B04AB02CC693}"/>
            </a:ext>
          </a:extLst>
        </xdr:cNvPr>
        <xdr:cNvSpPr txBox="1"/>
      </xdr:nvSpPr>
      <xdr:spPr>
        <a:xfrm>
          <a:off x="2720913" y="691030"/>
          <a:ext cx="3909233" cy="1027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 b="1">
              <a:latin typeface="Tw Cen MT" panose="020B0602020104020603" pitchFamily="34" charset="0"/>
            </a:rPr>
            <a:t>Sales</a:t>
          </a:r>
          <a:r>
            <a:rPr lang="en-US" sz="3600" b="1" baseline="0">
              <a:latin typeface="Tw Cen MT" panose="020B0602020104020603" pitchFamily="34" charset="0"/>
            </a:rPr>
            <a:t> DashBoard</a:t>
          </a:r>
          <a:endParaRPr lang="fr-TG" sz="3600" b="1">
            <a:latin typeface="Tw Cen MT" panose="020B0602020104020603" pitchFamily="34" charset="0"/>
          </a:endParaRPr>
        </a:p>
      </xdr:txBody>
    </xdr:sp>
    <xdr:clientData/>
  </xdr:twoCellAnchor>
  <xdr:twoCellAnchor>
    <xdr:from>
      <xdr:col>11</xdr:col>
      <xdr:colOff>174066</xdr:colOff>
      <xdr:row>15</xdr:row>
      <xdr:rowOff>62005</xdr:rowOff>
    </xdr:from>
    <xdr:to>
      <xdr:col>13</xdr:col>
      <xdr:colOff>59017</xdr:colOff>
      <xdr:row>17</xdr:row>
      <xdr:rowOff>96372</xdr:rowOff>
    </xdr:to>
    <xdr:sp macro="" textlink="TCD!J64">
      <xdr:nvSpPr>
        <xdr:cNvPr id="50" name="ZoneTexte 49">
          <a:extLst>
            <a:ext uri="{FF2B5EF4-FFF2-40B4-BE49-F238E27FC236}">
              <a16:creationId xmlns:a16="http://schemas.microsoft.com/office/drawing/2014/main" id="{81195FE0-0EAA-4F44-9F7B-A80C2A5968D7}"/>
            </a:ext>
          </a:extLst>
        </xdr:cNvPr>
        <xdr:cNvSpPr txBox="1"/>
      </xdr:nvSpPr>
      <xdr:spPr>
        <a:xfrm>
          <a:off x="8597154" y="2863476"/>
          <a:ext cx="1416422" cy="4078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A229A88-18AA-41C2-9DBA-980A9938C702}" type="TxLink">
            <a:rPr lang="en-US" sz="3200" b="1" i="0" u="none" strike="noStrike">
              <a:solidFill>
                <a:srgbClr val="000000"/>
              </a:solidFill>
              <a:latin typeface="Tw Cen MT" panose="020B0602020104020603" pitchFamily="34" charset="0"/>
              <a:ea typeface="+mn-ea"/>
              <a:cs typeface="Calibri"/>
            </a:rPr>
            <a:pPr marL="0" indent="0" algn="ctr"/>
            <a:t>46</a:t>
          </a:fld>
          <a:endParaRPr lang="fr-TG" sz="3200" b="1" i="0" u="none" strike="noStrike">
            <a:solidFill>
              <a:srgbClr val="000000"/>
            </a:solidFill>
            <a:latin typeface="Tw Cen MT" panose="020B06020201040206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67914</xdr:colOff>
      <xdr:row>4</xdr:row>
      <xdr:rowOff>63248</xdr:rowOff>
    </xdr:from>
    <xdr:to>
      <xdr:col>18</xdr:col>
      <xdr:colOff>541618</xdr:colOff>
      <xdr:row>17</xdr:row>
      <xdr:rowOff>168089</xdr:rowOff>
    </xdr:to>
    <xdr:sp macro="" textlink="">
      <xdr:nvSpPr>
        <xdr:cNvPr id="52" name="Rectangle : coins arrondis 51">
          <a:extLst>
            <a:ext uri="{FF2B5EF4-FFF2-40B4-BE49-F238E27FC236}">
              <a16:creationId xmlns:a16="http://schemas.microsoft.com/office/drawing/2014/main" id="{C60B74E4-AE87-41C2-8943-37A22071A0E2}"/>
            </a:ext>
          </a:extLst>
        </xdr:cNvPr>
        <xdr:cNvSpPr/>
      </xdr:nvSpPr>
      <xdr:spPr>
        <a:xfrm>
          <a:off x="10788208" y="810307"/>
          <a:ext cx="3536645" cy="2532782"/>
        </a:xfrm>
        <a:prstGeom prst="roundRect">
          <a:avLst>
            <a:gd name="adj" fmla="val 901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14</xdr:col>
      <xdr:colOff>349928</xdr:colOff>
      <xdr:row>5</xdr:row>
      <xdr:rowOff>150093</xdr:rowOff>
    </xdr:from>
    <xdr:to>
      <xdr:col>18</xdr:col>
      <xdr:colOff>254000</xdr:colOff>
      <xdr:row>9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Année">
              <a:extLst>
                <a:ext uri="{FF2B5EF4-FFF2-40B4-BE49-F238E27FC236}">
                  <a16:creationId xmlns:a16="http://schemas.microsoft.com/office/drawing/2014/main" id="{DD341199-83C3-4982-85C9-2E835F5E38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7928" y="1102593"/>
              <a:ext cx="2952072" cy="7071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G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333374</xdr:colOff>
      <xdr:row>10</xdr:row>
      <xdr:rowOff>98985</xdr:rowOff>
    </xdr:from>
    <xdr:to>
      <xdr:col>18</xdr:col>
      <xdr:colOff>253999</xdr:colOff>
      <xdr:row>17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Mois 1">
              <a:extLst>
                <a:ext uri="{FF2B5EF4-FFF2-40B4-BE49-F238E27FC236}">
                  <a16:creationId xmlns:a16="http://schemas.microsoft.com/office/drawing/2014/main" id="{D91319FE-C7A9-4780-8C6A-9E5EC71013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1374" y="2003985"/>
              <a:ext cx="2968625" cy="1234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G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392206</xdr:colOff>
      <xdr:row>9</xdr:row>
      <xdr:rowOff>74707</xdr:rowOff>
    </xdr:from>
    <xdr:to>
      <xdr:col>2</xdr:col>
      <xdr:colOff>370802</xdr:colOff>
      <xdr:row>13</xdr:row>
      <xdr:rowOff>41255</xdr:rowOff>
    </xdr:to>
    <xdr:grpSp>
      <xdr:nvGrpSpPr>
        <xdr:cNvPr id="11" name="Groupe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6BE528-FE24-4DB3-BF5C-A1A9894469A7}"/>
            </a:ext>
          </a:extLst>
        </xdr:cNvPr>
        <xdr:cNvGrpSpPr/>
      </xdr:nvGrpSpPr>
      <xdr:grpSpPr>
        <a:xfrm>
          <a:off x="1154206" y="1789207"/>
          <a:ext cx="740596" cy="728548"/>
          <a:chOff x="1157941" y="1755589"/>
          <a:chExt cx="744332" cy="713607"/>
        </a:xfrm>
      </xdr:grpSpPr>
      <xdr:sp macro="" textlink="">
        <xdr:nvSpPr>
          <xdr:cNvPr id="55" name="Ellipse 54">
            <a:extLst>
              <a:ext uri="{FF2B5EF4-FFF2-40B4-BE49-F238E27FC236}">
                <a16:creationId xmlns:a16="http://schemas.microsoft.com/office/drawing/2014/main" id="{9B312F48-4E46-46EF-958C-4B1D5E71D462}"/>
              </a:ext>
            </a:extLst>
          </xdr:cNvPr>
          <xdr:cNvSpPr/>
        </xdr:nvSpPr>
        <xdr:spPr>
          <a:xfrm>
            <a:off x="1157941" y="1755589"/>
            <a:ext cx="744332" cy="713607"/>
          </a:xfrm>
          <a:prstGeom prst="ellips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TG" sz="1100"/>
          </a:p>
        </xdr:txBody>
      </xdr:sp>
      <xdr:pic>
        <xdr:nvPicPr>
          <xdr:cNvPr id="9" name="Image 8">
            <a:extLst>
              <a:ext uri="{FF2B5EF4-FFF2-40B4-BE49-F238E27FC236}">
                <a16:creationId xmlns:a16="http://schemas.microsoft.com/office/drawing/2014/main" id="{9DC7621F-7795-4590-B64F-1A198A3775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88677" y="1867648"/>
            <a:ext cx="485588" cy="48558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16143</xdr:rowOff>
    </xdr:from>
    <xdr:to>
      <xdr:col>7</xdr:col>
      <xdr:colOff>470159</xdr:colOff>
      <xdr:row>23</xdr:row>
      <xdr:rowOff>99580</xdr:rowOff>
    </xdr:to>
    <xdr:sp macro="" textlink="">
      <xdr:nvSpPr>
        <xdr:cNvPr id="2" name="Rectangle 9">
          <a:extLst>
            <a:ext uri="{FF2B5EF4-FFF2-40B4-BE49-F238E27FC236}">
              <a16:creationId xmlns:a16="http://schemas.microsoft.com/office/drawing/2014/main" id="{87331C0B-C48D-4B79-A22D-9A2DEEB83EAB}"/>
            </a:ext>
          </a:extLst>
        </xdr:cNvPr>
        <xdr:cNvSpPr/>
      </xdr:nvSpPr>
      <xdr:spPr>
        <a:xfrm>
          <a:off x="0" y="16143"/>
          <a:ext cx="5804159" cy="4464937"/>
        </a:xfrm>
        <a:custGeom>
          <a:avLst/>
          <a:gdLst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4084448 w 4084448"/>
            <a:gd name="connsiteY2" fmla="*/ 3035085 h 3035085"/>
            <a:gd name="connsiteX3" fmla="*/ 0 w 4084448"/>
            <a:gd name="connsiteY3" fmla="*/ 3035085 h 3035085"/>
            <a:gd name="connsiteX4" fmla="*/ 0 w 4084448"/>
            <a:gd name="connsiteY4" fmla="*/ 0 h 3035085"/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1356101 w 4084448"/>
            <a:gd name="connsiteY2" fmla="*/ 952500 h 3035085"/>
            <a:gd name="connsiteX3" fmla="*/ 0 w 4084448"/>
            <a:gd name="connsiteY3" fmla="*/ 3035085 h 3035085"/>
            <a:gd name="connsiteX4" fmla="*/ 0 w 4084448"/>
            <a:gd name="connsiteY4" fmla="*/ 0 h 303508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084448" h="3035085">
              <a:moveTo>
                <a:pt x="0" y="0"/>
              </a:moveTo>
              <a:lnTo>
                <a:pt x="4084448" y="0"/>
              </a:lnTo>
              <a:lnTo>
                <a:pt x="1356101" y="952500"/>
              </a:lnTo>
              <a:lnTo>
                <a:pt x="0" y="3035085"/>
              </a:lnTo>
              <a:lnTo>
                <a:pt x="0" y="0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558532</xdr:colOff>
      <xdr:row>0</xdr:row>
      <xdr:rowOff>0</xdr:rowOff>
    </xdr:from>
    <xdr:to>
      <xdr:col>20</xdr:col>
      <xdr:colOff>258536</xdr:colOff>
      <xdr:row>62</xdr:row>
      <xdr:rowOff>47625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8BACFC81-684D-452F-BEE5-36CF252979DE}"/>
            </a:ext>
          </a:extLst>
        </xdr:cNvPr>
        <xdr:cNvSpPr/>
      </xdr:nvSpPr>
      <xdr:spPr>
        <a:xfrm>
          <a:off x="1320532" y="0"/>
          <a:ext cx="14178004" cy="11858625"/>
        </a:xfrm>
        <a:prstGeom prst="roundRect">
          <a:avLst>
            <a:gd name="adj" fmla="val 5061"/>
          </a:avLst>
        </a:prstGeom>
        <a:solidFill>
          <a:srgbClr val="ECF1FF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3</xdr:col>
      <xdr:colOff>400140</xdr:colOff>
      <xdr:row>21</xdr:row>
      <xdr:rowOff>133014</xdr:rowOff>
    </xdr:from>
    <xdr:to>
      <xdr:col>18</xdr:col>
      <xdr:colOff>563145</xdr:colOff>
      <xdr:row>40</xdr:row>
      <xdr:rowOff>159584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DFF2A275-DC8D-419E-A217-6B36E1591A99}"/>
            </a:ext>
          </a:extLst>
        </xdr:cNvPr>
        <xdr:cNvSpPr/>
      </xdr:nvSpPr>
      <xdr:spPr>
        <a:xfrm>
          <a:off x="2686140" y="4133514"/>
          <a:ext cx="11593005" cy="3646070"/>
        </a:xfrm>
        <a:prstGeom prst="roundRect">
          <a:avLst>
            <a:gd name="adj" fmla="val 291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736657</xdr:colOff>
      <xdr:row>10</xdr:row>
      <xdr:rowOff>184739</xdr:rowOff>
    </xdr:from>
    <xdr:to>
      <xdr:col>10</xdr:col>
      <xdr:colOff>210408</xdr:colOff>
      <xdr:row>19</xdr:row>
      <xdr:rowOff>143372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CDD0B27A-EFC4-49F0-8A7C-A3043D5363D1}"/>
            </a:ext>
          </a:extLst>
        </xdr:cNvPr>
        <xdr:cNvSpPr/>
      </xdr:nvSpPr>
      <xdr:spPr>
        <a:xfrm>
          <a:off x="5308657" y="2089739"/>
          <a:ext cx="2521751" cy="1673133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603559</xdr:colOff>
      <xdr:row>10</xdr:row>
      <xdr:rowOff>98370</xdr:rowOff>
    </xdr:from>
    <xdr:to>
      <xdr:col>14</xdr:col>
      <xdr:colOff>76738</xdr:colOff>
      <xdr:row>19</xdr:row>
      <xdr:rowOff>54243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048FB8D6-45AD-42E7-8367-471B521D3183}"/>
            </a:ext>
          </a:extLst>
        </xdr:cNvPr>
        <xdr:cNvSpPr/>
      </xdr:nvSpPr>
      <xdr:spPr>
        <a:xfrm>
          <a:off x="8223559" y="2003370"/>
          <a:ext cx="2521179" cy="1670373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299954</xdr:colOff>
      <xdr:row>20</xdr:row>
      <xdr:rowOff>24762</xdr:rowOff>
    </xdr:from>
    <xdr:to>
      <xdr:col>15</xdr:col>
      <xdr:colOff>551068</xdr:colOff>
      <xdr:row>21</xdr:row>
      <xdr:rowOff>7443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AE3519B-EBA9-4A9F-BB1B-C681420423A0}"/>
            </a:ext>
          </a:extLst>
        </xdr:cNvPr>
        <xdr:cNvSpPr/>
      </xdr:nvSpPr>
      <xdr:spPr>
        <a:xfrm>
          <a:off x="2585954" y="3834762"/>
          <a:ext cx="9395114" cy="173181"/>
        </a:xfrm>
        <a:prstGeom prst="rect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13</xdr:col>
      <xdr:colOff>749199</xdr:colOff>
      <xdr:row>41</xdr:row>
      <xdr:rowOff>75194</xdr:rowOff>
    </xdr:from>
    <xdr:to>
      <xdr:col>18</xdr:col>
      <xdr:colOff>458892</xdr:colOff>
      <xdr:row>42</xdr:row>
      <xdr:rowOff>86207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F19FF10-1EAC-4C9C-B44A-08FA47B3A1C5}"/>
            </a:ext>
          </a:extLst>
        </xdr:cNvPr>
        <xdr:cNvSpPr/>
      </xdr:nvSpPr>
      <xdr:spPr>
        <a:xfrm rot="5400000">
          <a:off x="12314289" y="6226604"/>
          <a:ext cx="201513" cy="3519693"/>
        </a:xfrm>
        <a:prstGeom prst="rect">
          <a:avLst/>
        </a:prstGeom>
        <a:solidFill>
          <a:srgbClr val="13326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1</xdr:col>
      <xdr:colOff>212146</xdr:colOff>
      <xdr:row>4</xdr:row>
      <xdr:rowOff>17317</xdr:rowOff>
    </xdr:from>
    <xdr:to>
      <xdr:col>2</xdr:col>
      <xdr:colOff>166687</xdr:colOff>
      <xdr:row>56</xdr:row>
      <xdr:rowOff>69271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1C39F01-7DBE-4396-8872-D255AE74B7C8}"/>
            </a:ext>
          </a:extLst>
        </xdr:cNvPr>
        <xdr:cNvSpPr/>
      </xdr:nvSpPr>
      <xdr:spPr>
        <a:xfrm>
          <a:off x="974146" y="779317"/>
          <a:ext cx="716541" cy="9957954"/>
        </a:xfrm>
        <a:prstGeom prst="rect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42928</xdr:colOff>
      <xdr:row>17</xdr:row>
      <xdr:rowOff>186610</xdr:rowOff>
    </xdr:to>
    <xdr:sp macro="" textlink="">
      <xdr:nvSpPr>
        <xdr:cNvPr id="14" name="Rectangle 9">
          <a:extLst>
            <a:ext uri="{FF2B5EF4-FFF2-40B4-BE49-F238E27FC236}">
              <a16:creationId xmlns:a16="http://schemas.microsoft.com/office/drawing/2014/main" id="{67C5B923-D9D5-44DA-9FD4-6C773108A52D}"/>
            </a:ext>
          </a:extLst>
        </xdr:cNvPr>
        <xdr:cNvSpPr/>
      </xdr:nvSpPr>
      <xdr:spPr>
        <a:xfrm>
          <a:off x="0" y="0"/>
          <a:ext cx="3852928" cy="3425110"/>
        </a:xfrm>
        <a:custGeom>
          <a:avLst/>
          <a:gdLst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4084448 w 4084448"/>
            <a:gd name="connsiteY2" fmla="*/ 3035085 h 3035085"/>
            <a:gd name="connsiteX3" fmla="*/ 0 w 4084448"/>
            <a:gd name="connsiteY3" fmla="*/ 3035085 h 3035085"/>
            <a:gd name="connsiteX4" fmla="*/ 0 w 4084448"/>
            <a:gd name="connsiteY4" fmla="*/ 0 h 3035085"/>
            <a:gd name="connsiteX0" fmla="*/ 0 w 4084448"/>
            <a:gd name="connsiteY0" fmla="*/ 0 h 3035085"/>
            <a:gd name="connsiteX1" fmla="*/ 4084448 w 4084448"/>
            <a:gd name="connsiteY1" fmla="*/ 0 h 3035085"/>
            <a:gd name="connsiteX2" fmla="*/ 1356101 w 4084448"/>
            <a:gd name="connsiteY2" fmla="*/ 952500 h 3035085"/>
            <a:gd name="connsiteX3" fmla="*/ 0 w 4084448"/>
            <a:gd name="connsiteY3" fmla="*/ 3035085 h 3035085"/>
            <a:gd name="connsiteX4" fmla="*/ 0 w 4084448"/>
            <a:gd name="connsiteY4" fmla="*/ 0 h 303508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084448" h="3035085">
              <a:moveTo>
                <a:pt x="0" y="0"/>
              </a:moveTo>
              <a:lnTo>
                <a:pt x="4084448" y="0"/>
              </a:lnTo>
              <a:lnTo>
                <a:pt x="1356101" y="952500"/>
              </a:lnTo>
              <a:lnTo>
                <a:pt x="0" y="3035085"/>
              </a:lnTo>
              <a:lnTo>
                <a:pt x="0" y="0"/>
              </a:lnTo>
              <a:close/>
            </a:path>
          </a:pathLst>
        </a:cu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5</xdr:col>
      <xdr:colOff>576930</xdr:colOff>
      <xdr:row>43</xdr:row>
      <xdr:rowOff>23063</xdr:rowOff>
    </xdr:from>
    <xdr:to>
      <xdr:col>16</xdr:col>
      <xdr:colOff>547687</xdr:colOff>
      <xdr:row>60</xdr:row>
      <xdr:rowOff>166688</xdr:rowOff>
    </xdr:to>
    <xdr:sp macro="" textlink="">
      <xdr:nvSpPr>
        <xdr:cNvPr id="18" name="Rectangle : coins arrondis 17">
          <a:extLst>
            <a:ext uri="{FF2B5EF4-FFF2-40B4-BE49-F238E27FC236}">
              <a16:creationId xmlns:a16="http://schemas.microsoft.com/office/drawing/2014/main" id="{0B9E8847-638C-4CA9-8A5A-74847D329BD7}"/>
            </a:ext>
          </a:extLst>
        </xdr:cNvPr>
        <xdr:cNvSpPr/>
      </xdr:nvSpPr>
      <xdr:spPr>
        <a:xfrm>
          <a:off x="4386930" y="8214563"/>
          <a:ext cx="8352757" cy="3382125"/>
        </a:xfrm>
        <a:prstGeom prst="roundRect">
          <a:avLst>
            <a:gd name="adj" fmla="val 291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402645</xdr:colOff>
      <xdr:row>11</xdr:row>
      <xdr:rowOff>42292</xdr:rowOff>
    </xdr:from>
    <xdr:to>
      <xdr:col>6</xdr:col>
      <xdr:colOff>661398</xdr:colOff>
      <xdr:row>19</xdr:row>
      <xdr:rowOff>118221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78D6A0EB-DF97-44AF-A723-BBD44AED17C9}"/>
            </a:ext>
          </a:extLst>
        </xdr:cNvPr>
        <xdr:cNvSpPr/>
      </xdr:nvSpPr>
      <xdr:spPr>
        <a:xfrm>
          <a:off x="2688645" y="2137792"/>
          <a:ext cx="2544753" cy="1599929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343037</xdr:colOff>
      <xdr:row>16</xdr:row>
      <xdr:rowOff>9186</xdr:rowOff>
    </xdr:from>
    <xdr:to>
      <xdr:col>5</xdr:col>
      <xdr:colOff>738977</xdr:colOff>
      <xdr:row>18</xdr:row>
      <xdr:rowOff>39069</xdr:rowOff>
    </xdr:to>
    <xdr:sp macro="" textlink="TCD!C16">
      <xdr:nvSpPr>
        <xdr:cNvPr id="17" name="ZoneTexte 16">
          <a:extLst>
            <a:ext uri="{FF2B5EF4-FFF2-40B4-BE49-F238E27FC236}">
              <a16:creationId xmlns:a16="http://schemas.microsoft.com/office/drawing/2014/main" id="{42455F55-3572-4191-AD54-B8C37ECCB08D}"/>
            </a:ext>
          </a:extLst>
        </xdr:cNvPr>
        <xdr:cNvSpPr txBox="1"/>
      </xdr:nvSpPr>
      <xdr:spPr>
        <a:xfrm>
          <a:off x="3391037" y="3057186"/>
          <a:ext cx="1157940" cy="4108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DB9D816-9A20-4823-969C-6266EAEB2ECF}" type="TxLink">
            <a:rPr lang="en-US" sz="3200" b="1" i="0" u="none" strike="noStrike">
              <a:solidFill>
                <a:srgbClr val="000000"/>
              </a:solidFill>
              <a:latin typeface="Tw Cen MT" panose="020B0602020104020603" pitchFamily="34" charset="0"/>
              <a:cs typeface="Calibri"/>
            </a:rPr>
            <a:pPr algn="ctr"/>
            <a:t>1648</a:t>
          </a:fld>
          <a:endParaRPr lang="fr-TG" sz="3200" b="1">
            <a:latin typeface="Tw Cen MT" panose="020B0602020104020603" pitchFamily="34" charset="0"/>
          </a:endParaRPr>
        </a:p>
      </xdr:txBody>
    </xdr:sp>
    <xdr:clientData/>
  </xdr:twoCellAnchor>
  <xdr:twoCellAnchor>
    <xdr:from>
      <xdr:col>6</xdr:col>
      <xdr:colOff>54672</xdr:colOff>
      <xdr:row>10</xdr:row>
      <xdr:rowOff>183998</xdr:rowOff>
    </xdr:from>
    <xdr:to>
      <xdr:col>6</xdr:col>
      <xdr:colOff>652319</xdr:colOff>
      <xdr:row>13</xdr:row>
      <xdr:rowOff>135440</xdr:rowOff>
    </xdr:to>
    <xdr:sp macro="" textlink="">
      <xdr:nvSpPr>
        <xdr:cNvPr id="19" name="Ellipse 18">
          <a:extLst>
            <a:ext uri="{FF2B5EF4-FFF2-40B4-BE49-F238E27FC236}">
              <a16:creationId xmlns:a16="http://schemas.microsoft.com/office/drawing/2014/main" id="{92AA6BB0-D07E-4A40-891D-1F65A739DE23}"/>
            </a:ext>
          </a:extLst>
        </xdr:cNvPr>
        <xdr:cNvSpPr/>
      </xdr:nvSpPr>
      <xdr:spPr>
        <a:xfrm>
          <a:off x="4626672" y="2088998"/>
          <a:ext cx="597647" cy="522942"/>
        </a:xfrm>
        <a:prstGeom prst="ellipse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3</xdr:col>
      <xdr:colOff>619446</xdr:colOff>
      <xdr:row>11</xdr:row>
      <xdr:rowOff>158597</xdr:rowOff>
    </xdr:from>
    <xdr:to>
      <xdr:col>6</xdr:col>
      <xdr:colOff>481242</xdr:colOff>
      <xdr:row>15</xdr:row>
      <xdr:rowOff>31599</xdr:rowOff>
    </xdr:to>
    <xdr:sp macro="" textlink="">
      <xdr:nvSpPr>
        <xdr:cNvPr id="20" name="Organigramme : Terminateur 19">
          <a:extLst>
            <a:ext uri="{FF2B5EF4-FFF2-40B4-BE49-F238E27FC236}">
              <a16:creationId xmlns:a16="http://schemas.microsoft.com/office/drawing/2014/main" id="{F3127157-47BC-4244-A7DB-432ECBCBAA50}"/>
            </a:ext>
          </a:extLst>
        </xdr:cNvPr>
        <xdr:cNvSpPr/>
      </xdr:nvSpPr>
      <xdr:spPr>
        <a:xfrm>
          <a:off x="2905446" y="2254097"/>
          <a:ext cx="2147796" cy="635002"/>
        </a:xfrm>
        <a:prstGeom prst="flowChartTerminator">
          <a:avLst/>
        </a:prstGeom>
        <a:solidFill>
          <a:schemeClr val="accent4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000" b="1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Montant Median</a:t>
          </a:r>
          <a:endParaRPr lang="fr-TG" sz="2000" b="1">
            <a:solidFill>
              <a:sysClr val="windowText" lastClr="000000"/>
            </a:solidFill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736657</xdr:colOff>
      <xdr:row>11</xdr:row>
      <xdr:rowOff>23625</xdr:rowOff>
    </xdr:from>
    <xdr:to>
      <xdr:col>10</xdr:col>
      <xdr:colOff>242667</xdr:colOff>
      <xdr:row>19</xdr:row>
      <xdr:rowOff>100174</xdr:rowOff>
    </xdr:to>
    <xdr:sp macro="" textlink="">
      <xdr:nvSpPr>
        <xdr:cNvPr id="25" name="Rectangle : coins arrondis 24">
          <a:extLst>
            <a:ext uri="{FF2B5EF4-FFF2-40B4-BE49-F238E27FC236}">
              <a16:creationId xmlns:a16="http://schemas.microsoft.com/office/drawing/2014/main" id="{6344D610-AC89-4928-9554-CFE9F2005B2E}"/>
            </a:ext>
          </a:extLst>
        </xdr:cNvPr>
        <xdr:cNvSpPr/>
      </xdr:nvSpPr>
      <xdr:spPr>
        <a:xfrm>
          <a:off x="5308657" y="2119125"/>
          <a:ext cx="2554010" cy="1600549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248564</xdr:colOff>
      <xdr:row>10</xdr:row>
      <xdr:rowOff>184739</xdr:rowOff>
    </xdr:from>
    <xdr:to>
      <xdr:col>10</xdr:col>
      <xdr:colOff>84211</xdr:colOff>
      <xdr:row>13</xdr:row>
      <xdr:rowOff>136181</xdr:rowOff>
    </xdr:to>
    <xdr:sp macro="" textlink="">
      <xdr:nvSpPr>
        <xdr:cNvPr id="26" name="Ellipse 25">
          <a:extLst>
            <a:ext uri="{FF2B5EF4-FFF2-40B4-BE49-F238E27FC236}">
              <a16:creationId xmlns:a16="http://schemas.microsoft.com/office/drawing/2014/main" id="{943D4F74-F44D-4C05-9585-7177E1F3E19A}"/>
            </a:ext>
          </a:extLst>
        </xdr:cNvPr>
        <xdr:cNvSpPr/>
      </xdr:nvSpPr>
      <xdr:spPr>
        <a:xfrm>
          <a:off x="7106564" y="2089739"/>
          <a:ext cx="597647" cy="522942"/>
        </a:xfrm>
        <a:prstGeom prst="ellipse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7</xdr:col>
      <xdr:colOff>598936</xdr:colOff>
      <xdr:row>15</xdr:row>
      <xdr:rowOff>150375</xdr:rowOff>
    </xdr:from>
    <xdr:to>
      <xdr:col>9</xdr:col>
      <xdr:colOff>491358</xdr:colOff>
      <xdr:row>17</xdr:row>
      <xdr:rowOff>177271</xdr:rowOff>
    </xdr:to>
    <xdr:sp macro="" textlink="TCD!C70">
      <xdr:nvSpPr>
        <xdr:cNvPr id="27" name="ZoneTexte 26">
          <a:extLst>
            <a:ext uri="{FF2B5EF4-FFF2-40B4-BE49-F238E27FC236}">
              <a16:creationId xmlns:a16="http://schemas.microsoft.com/office/drawing/2014/main" id="{C4E3E11B-3EAB-4A07-9E51-9F7325B9CCF6}"/>
            </a:ext>
          </a:extLst>
        </xdr:cNvPr>
        <xdr:cNvSpPr txBox="1"/>
      </xdr:nvSpPr>
      <xdr:spPr>
        <a:xfrm>
          <a:off x="5932936" y="3007875"/>
          <a:ext cx="1416422" cy="4078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89943EF-B9FC-4B28-A4BB-F7497FCA50C6}" type="TxLink">
            <a:rPr lang="en-US" sz="3200" b="1" i="0" u="none" strike="noStrike">
              <a:solidFill>
                <a:srgbClr val="000000"/>
              </a:solidFill>
              <a:latin typeface="Tw Cen MT" panose="020B0602020104020603" pitchFamily="34" charset="0"/>
              <a:ea typeface="+mn-ea"/>
              <a:cs typeface="Calibri"/>
            </a:rPr>
            <a:pPr marL="0" indent="0" algn="ctr"/>
            <a:t>13314</a:t>
          </a:fld>
          <a:endParaRPr lang="fr-TG" sz="3200" b="1" i="0" u="none" strike="noStrike">
            <a:solidFill>
              <a:srgbClr val="000000"/>
            </a:solidFill>
            <a:latin typeface="Tw Cen MT" panose="020B06020201040206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113345</xdr:colOff>
      <xdr:row>12</xdr:row>
      <xdr:rowOff>12168</xdr:rowOff>
    </xdr:from>
    <xdr:to>
      <xdr:col>10</xdr:col>
      <xdr:colOff>31170</xdr:colOff>
      <xdr:row>15</xdr:row>
      <xdr:rowOff>19640</xdr:rowOff>
    </xdr:to>
    <xdr:sp macro="" textlink="">
      <xdr:nvSpPr>
        <xdr:cNvPr id="28" name="Organigramme : Terminateur 27">
          <a:extLst>
            <a:ext uri="{FF2B5EF4-FFF2-40B4-BE49-F238E27FC236}">
              <a16:creationId xmlns:a16="http://schemas.microsoft.com/office/drawing/2014/main" id="{82051F6E-F524-4679-9A33-F7474399A2F0}"/>
            </a:ext>
          </a:extLst>
        </xdr:cNvPr>
        <xdr:cNvSpPr/>
      </xdr:nvSpPr>
      <xdr:spPr>
        <a:xfrm>
          <a:off x="5447345" y="2298168"/>
          <a:ext cx="2203825" cy="578972"/>
        </a:xfrm>
        <a:prstGeom prst="flowChartTerminator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000" b="1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Qte</a:t>
          </a:r>
          <a:r>
            <a:rPr lang="en-US" sz="2000" b="1" baseline="0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 Moyenne</a:t>
          </a:r>
          <a:endParaRPr lang="fr-TG" sz="2000" b="1">
            <a:solidFill>
              <a:sysClr val="windowText" lastClr="000000"/>
            </a:solidFill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400139</xdr:colOff>
      <xdr:row>21</xdr:row>
      <xdr:rowOff>133013</xdr:rowOff>
    </xdr:from>
    <xdr:to>
      <xdr:col>18</xdr:col>
      <xdr:colOff>452436</xdr:colOff>
      <xdr:row>40</xdr:row>
      <xdr:rowOff>71436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DEE1DDCE-08BF-4B15-9AFF-DBA0FE330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5430</xdr:colOff>
      <xdr:row>43</xdr:row>
      <xdr:rowOff>70685</xdr:rowOff>
    </xdr:from>
    <xdr:to>
      <xdr:col>16</xdr:col>
      <xdr:colOff>261938</xdr:colOff>
      <xdr:row>60</xdr:row>
      <xdr:rowOff>166686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1AF533EF-C9C3-4E1E-9139-9367DFE47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</xdr:colOff>
      <xdr:row>2</xdr:row>
      <xdr:rowOff>166688</xdr:rowOff>
    </xdr:from>
    <xdr:to>
      <xdr:col>8</xdr:col>
      <xdr:colOff>381000</xdr:colOff>
      <xdr:row>8</xdr:row>
      <xdr:rowOff>71438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3771DE85-6D27-442B-AF3A-DB656417F3A4}"/>
            </a:ext>
          </a:extLst>
        </xdr:cNvPr>
        <xdr:cNvSpPr txBox="1"/>
      </xdr:nvSpPr>
      <xdr:spPr>
        <a:xfrm>
          <a:off x="3071812" y="547688"/>
          <a:ext cx="3405188" cy="1047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5400" b="1">
              <a:latin typeface="Tw Cen MT" panose="020B0602020104020603" pitchFamily="34" charset="0"/>
            </a:rPr>
            <a:t>DashBoard</a:t>
          </a:r>
          <a:endParaRPr lang="fr-TG" sz="5400" b="1">
            <a:latin typeface="Tw Cen MT" panose="020B0602020104020603" pitchFamily="34" charset="0"/>
          </a:endParaRPr>
        </a:p>
      </xdr:txBody>
    </xdr:sp>
    <xdr:clientData/>
  </xdr:twoCellAnchor>
  <xdr:twoCellAnchor>
    <xdr:from>
      <xdr:col>13</xdr:col>
      <xdr:colOff>482606</xdr:colOff>
      <xdr:row>10</xdr:row>
      <xdr:rowOff>143237</xdr:rowOff>
    </xdr:from>
    <xdr:to>
      <xdr:col>14</xdr:col>
      <xdr:colOff>318253</xdr:colOff>
      <xdr:row>13</xdr:row>
      <xdr:rowOff>94679</xdr:rowOff>
    </xdr:to>
    <xdr:sp macro="" textlink="">
      <xdr:nvSpPr>
        <xdr:cNvPr id="33" name="Ellipse 32">
          <a:extLst>
            <a:ext uri="{FF2B5EF4-FFF2-40B4-BE49-F238E27FC236}">
              <a16:creationId xmlns:a16="http://schemas.microsoft.com/office/drawing/2014/main" id="{573770F2-D804-4209-8F35-0239C4978888}"/>
            </a:ext>
          </a:extLst>
        </xdr:cNvPr>
        <xdr:cNvSpPr/>
      </xdr:nvSpPr>
      <xdr:spPr>
        <a:xfrm>
          <a:off x="10388606" y="2048237"/>
          <a:ext cx="597647" cy="522942"/>
        </a:xfrm>
        <a:prstGeom prst="ellipse">
          <a:avLst/>
        </a:prstGeom>
        <a:solidFill>
          <a:srgbClr val="13326D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TG" sz="1100"/>
        </a:p>
      </xdr:txBody>
    </xdr:sp>
    <xdr:clientData/>
  </xdr:twoCellAnchor>
  <xdr:twoCellAnchor>
    <xdr:from>
      <xdr:col>11</xdr:col>
      <xdr:colOff>133078</xdr:colOff>
      <xdr:row>11</xdr:row>
      <xdr:rowOff>62515</xdr:rowOff>
    </xdr:from>
    <xdr:to>
      <xdr:col>14</xdr:col>
      <xdr:colOff>50903</xdr:colOff>
      <xdr:row>14</xdr:row>
      <xdr:rowOff>69987</xdr:rowOff>
    </xdr:to>
    <xdr:sp macro="" textlink="">
      <xdr:nvSpPr>
        <xdr:cNvPr id="32" name="Organigramme : Terminateur 31">
          <a:extLst>
            <a:ext uri="{FF2B5EF4-FFF2-40B4-BE49-F238E27FC236}">
              <a16:creationId xmlns:a16="http://schemas.microsoft.com/office/drawing/2014/main" id="{7B0DCE6D-40C9-4B58-BFF9-99755BED587C}"/>
            </a:ext>
          </a:extLst>
        </xdr:cNvPr>
        <xdr:cNvSpPr/>
      </xdr:nvSpPr>
      <xdr:spPr>
        <a:xfrm>
          <a:off x="8515078" y="2158015"/>
          <a:ext cx="2203825" cy="578972"/>
        </a:xfrm>
        <a:prstGeom prst="flowChartTerminator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000" b="1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Qte</a:t>
          </a:r>
          <a:r>
            <a:rPr lang="en-US" sz="2000" b="1" baseline="0">
              <a:solidFill>
                <a:sysClr val="windowText" lastClr="000000"/>
              </a:solidFill>
              <a:latin typeface="Tw Cen MT" panose="020B0602020104020603" pitchFamily="34" charset="0"/>
              <a:ea typeface="+mn-ea"/>
              <a:cs typeface="+mn-cs"/>
            </a:rPr>
            <a:t> Moyenne</a:t>
          </a:r>
          <a:endParaRPr lang="fr-TG" sz="2000" b="1">
            <a:solidFill>
              <a:sysClr val="windowText" lastClr="000000"/>
            </a:solidFill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517075</xdr:colOff>
      <xdr:row>15</xdr:row>
      <xdr:rowOff>187098</xdr:rowOff>
    </xdr:from>
    <xdr:to>
      <xdr:col>13</xdr:col>
      <xdr:colOff>350387</xdr:colOff>
      <xdr:row>17</xdr:row>
      <xdr:rowOff>163286</xdr:rowOff>
    </xdr:to>
    <xdr:sp macro="" textlink="TCD!J64">
      <xdr:nvSpPr>
        <xdr:cNvPr id="6" name="ZoneTexte 5">
          <a:extLst>
            <a:ext uri="{FF2B5EF4-FFF2-40B4-BE49-F238E27FC236}">
              <a16:creationId xmlns:a16="http://schemas.microsoft.com/office/drawing/2014/main" id="{93AF9C2F-22E9-4CF8-BDB9-6E495A954F4B}"/>
            </a:ext>
          </a:extLst>
        </xdr:cNvPr>
        <xdr:cNvSpPr txBox="1"/>
      </xdr:nvSpPr>
      <xdr:spPr>
        <a:xfrm>
          <a:off x="8899075" y="3044598"/>
          <a:ext cx="1357312" cy="357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AE85F05-7915-4FE5-8942-54F563F1D403}" type="TxLink">
            <a:rPr lang="en-US" sz="3200" b="1" i="0" u="none" strike="noStrike">
              <a:solidFill>
                <a:srgbClr val="000000"/>
              </a:solidFill>
              <a:latin typeface="Tw Cen MT" panose="020B0602020104020603" pitchFamily="34" charset="0"/>
              <a:ea typeface="+mn-ea"/>
              <a:cs typeface="Calibri"/>
            </a:rPr>
            <a:pPr marL="0" indent="0" algn="ctr"/>
            <a:t>46</a:t>
          </a:fld>
          <a:endParaRPr lang="fr-TG" sz="3200" b="1" i="0" u="none" strike="noStrike">
            <a:solidFill>
              <a:srgbClr val="000000"/>
            </a:solidFill>
            <a:latin typeface="Tw Cen MT" panose="020B0602020104020603" pitchFamily="34" charset="0"/>
            <a:ea typeface="+mn-ea"/>
            <a:cs typeface="Calibri"/>
          </a:endParaRPr>
        </a:p>
      </xdr:txBody>
    </xdr:sp>
    <xdr:clientData/>
  </xdr:twoCellAnchor>
  <xdr:twoCellAnchor>
    <xdr:from>
      <xdr:col>1</xdr:col>
      <xdr:colOff>190500</xdr:colOff>
      <xdr:row>7</xdr:row>
      <xdr:rowOff>166687</xdr:rowOff>
    </xdr:from>
    <xdr:to>
      <xdr:col>2</xdr:col>
      <xdr:colOff>166687</xdr:colOff>
      <xdr:row>11</xdr:row>
      <xdr:rowOff>142875</xdr:rowOff>
    </xdr:to>
    <xdr:grpSp>
      <xdr:nvGrpSpPr>
        <xdr:cNvPr id="2051" name="Groupe 2050">
          <a:extLst>
            <a:ext uri="{FF2B5EF4-FFF2-40B4-BE49-F238E27FC236}">
              <a16:creationId xmlns:a16="http://schemas.microsoft.com/office/drawing/2014/main" id="{330584D9-607A-42F2-80D4-9BCDA1C0C425}"/>
            </a:ext>
          </a:extLst>
        </xdr:cNvPr>
        <xdr:cNvGrpSpPr/>
      </xdr:nvGrpSpPr>
      <xdr:grpSpPr>
        <a:xfrm>
          <a:off x="952500" y="1500187"/>
          <a:ext cx="738187" cy="738188"/>
          <a:chOff x="958645" y="1457171"/>
          <a:chExt cx="744332" cy="713607"/>
        </a:xfrm>
      </xdr:grpSpPr>
      <xdr:sp macro="" textlink="">
        <xdr:nvSpPr>
          <xdr:cNvPr id="10" name="Ellipse 9">
            <a:extLst>
              <a:ext uri="{FF2B5EF4-FFF2-40B4-BE49-F238E27FC236}">
                <a16:creationId xmlns:a16="http://schemas.microsoft.com/office/drawing/2014/main" id="{4A404067-92BE-41E1-83DB-93AA4F75C8CB}"/>
              </a:ext>
            </a:extLst>
          </xdr:cNvPr>
          <xdr:cNvSpPr/>
        </xdr:nvSpPr>
        <xdr:spPr>
          <a:xfrm>
            <a:off x="958645" y="1457171"/>
            <a:ext cx="744332" cy="713607"/>
          </a:xfrm>
          <a:prstGeom prst="ellipse">
            <a:avLst/>
          </a:prstGeom>
          <a:solidFill>
            <a:schemeClr val="accent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TG" sz="1100"/>
          </a:p>
        </xdr:txBody>
      </xdr:sp>
      <xdr:pic>
        <xdr:nvPicPr>
          <xdr:cNvPr id="2050" name="Image 2049">
            <a:extLst>
              <a:ext uri="{FF2B5EF4-FFF2-40B4-BE49-F238E27FC236}">
                <a16:creationId xmlns:a16="http://schemas.microsoft.com/office/drawing/2014/main" id="{B2BC3313-7298-44C1-8490-CC4CC3A04F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5432" y="1546275"/>
            <a:ext cx="506209" cy="481628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667189</xdr:colOff>
      <xdr:row>5</xdr:row>
      <xdr:rowOff>44771</xdr:rowOff>
    </xdr:from>
    <xdr:to>
      <xdr:col>19</xdr:col>
      <xdr:colOff>28092</xdr:colOff>
      <xdr:row>12</xdr:row>
      <xdr:rowOff>81642</xdr:rowOff>
    </xdr:to>
    <xdr:sp macro="" textlink="">
      <xdr:nvSpPr>
        <xdr:cNvPr id="29" name="Rectangle : coins arrondis 28">
          <a:extLst>
            <a:ext uri="{FF2B5EF4-FFF2-40B4-BE49-F238E27FC236}">
              <a16:creationId xmlns:a16="http://schemas.microsoft.com/office/drawing/2014/main" id="{A3D27D4E-4482-4064-92EE-B7D5F8F9687F}"/>
            </a:ext>
          </a:extLst>
        </xdr:cNvPr>
        <xdr:cNvSpPr/>
      </xdr:nvSpPr>
      <xdr:spPr>
        <a:xfrm>
          <a:off x="11335189" y="997271"/>
          <a:ext cx="3170903" cy="1370371"/>
        </a:xfrm>
        <a:prstGeom prst="roundRect">
          <a:avLst>
            <a:gd name="adj" fmla="val 901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fr-TG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149880</xdr:colOff>
      <xdr:row>6</xdr:row>
      <xdr:rowOff>173820</xdr:rowOff>
    </xdr:from>
    <xdr:to>
      <xdr:col>18</xdr:col>
      <xdr:colOff>728641</xdr:colOff>
      <xdr:row>11</xdr:row>
      <xdr:rowOff>29410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Année 1">
              <a:extLst>
                <a:ext uri="{FF2B5EF4-FFF2-40B4-BE49-F238E27FC236}">
                  <a16:creationId xmlns:a16="http://schemas.microsoft.com/office/drawing/2014/main" id="{1D3E1B81-8AFC-4255-915E-2DB7606F1F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79880" y="1316820"/>
              <a:ext cx="2864761" cy="808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G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S" refreshedDate="46004.663986226849" createdVersion="7" refreshedVersion="7" minRefreshableVersion="3" recordCount="860" xr:uid="{236CEDD4-AFDB-4C2E-B543-FBA4AD8C9A48}">
  <cacheSource type="worksheet">
    <worksheetSource name="transactions_evaluation"/>
  </cacheSource>
  <cacheFields count="17">
    <cacheField name="TransactionID" numFmtId="0">
      <sharedItems/>
    </cacheField>
    <cacheField name="Date" numFmtId="14">
      <sharedItems containsSemiMixedTypes="0" containsNonDate="0" containsDate="1" containsString="0" minDate="2024-01-03T00:00:00" maxDate="2025-10-31T00:00:00"/>
    </cacheField>
    <cacheField name="CustomerName" numFmtId="0">
      <sharedItems/>
    </cacheField>
    <cacheField name="Region" numFmtId="0">
      <sharedItems count="5">
        <s v="Centrale"/>
        <s v="Savanes"/>
        <s v="Kara"/>
        <s v="Maritime"/>
        <s v="Plateaux"/>
      </sharedItems>
    </cacheField>
    <cacheField name="Department" numFmtId="0">
      <sharedItems count="5">
        <s v="Informatique"/>
        <s v="RH"/>
        <s v="Finance"/>
        <s v="Ventes"/>
        <s v="Opérations"/>
      </sharedItems>
    </cacheField>
    <cacheField name="PricePerUnit" numFmtId="0">
      <sharedItems containsSemiMixedTypes="0" containsString="0" containsNumber="1" minValue="6.86" maxValue="6307.26"/>
    </cacheField>
    <cacheField name="Ville" numFmtId="0">
      <sharedItems count="23">
        <s v="Blitta"/>
        <s v="Tandjouaré"/>
        <s v="Bafilo"/>
        <s v="Lomé"/>
        <s v="Kétao"/>
        <s v="Sokodé"/>
        <s v="Badou"/>
        <s v="Kara"/>
        <s v="Tchamba"/>
        <s v="Dapaong"/>
        <s v="Aného"/>
        <s v="Mango"/>
        <s v="Atakpamé"/>
        <s v="Adjengré"/>
        <s v="Ahepe"/>
        <s v="Kohe"/>
        <s v="Pagouda"/>
        <s v="Vogan"/>
        <s v="Kpalimé"/>
        <s v="Sansanné-Mango"/>
        <s v="Tsevié"/>
        <s v="Atakpame" u="1"/>
        <s v="Tsevie" u="1"/>
      </sharedItems>
    </cacheField>
    <cacheField name="Quantite" numFmtId="0">
      <sharedItems containsSemiMixedTypes="0" containsString="0" containsNumber="1" containsInteger="1" minValue="0" maxValue="202"/>
    </cacheField>
    <cacheField name="Montant" numFmtId="0">
      <sharedItems containsSemiMixedTypes="0" containsString="0" containsNumber="1" minValue="0" maxValue="13174.279999999999"/>
    </cacheField>
    <cacheField name="Etat-status" numFmtId="0">
      <sharedItems count="3">
        <s v="en-attente"/>
        <s v="non-payé"/>
        <s v="payé"/>
      </sharedItems>
    </cacheField>
    <cacheField name="Revenu-category" numFmtId="0">
      <sharedItems count="2">
        <s v="Non-Core"/>
        <s v="Core"/>
      </sharedItems>
    </cacheField>
    <cacheField name="Ligne Produits" numFmtId="0">
      <sharedItems count="5">
        <s v="AGR"/>
        <s v="EDU"/>
        <s v="ÉNE"/>
        <s v="TEL"/>
        <s v="FMC"/>
      </sharedItems>
    </cacheField>
    <cacheField name="Index" numFmtId="0">
      <sharedItems/>
    </cacheField>
    <cacheField name="Mois" numFmtId="0">
      <sharedItems count="12">
        <s v="Oct"/>
        <s v="Apr"/>
        <s v="Sep"/>
        <s v="Jan"/>
        <s v="Aug"/>
        <s v="Jul"/>
        <s v="Mar"/>
        <s v="May"/>
        <s v="Feb"/>
        <s v="Dec"/>
        <s v="Jun"/>
        <s v="Nov"/>
      </sharedItems>
    </cacheField>
    <cacheField name="Jour" numFmtId="0">
      <sharedItems count="7">
        <s v="Thu"/>
        <s v="Tue"/>
        <s v="Sun"/>
        <s v="Mon"/>
        <s v="Fri"/>
        <s v="Wed"/>
        <s v="Sat"/>
      </sharedItems>
    </cacheField>
    <cacheField name="Outliers" numFmtId="0">
      <sharedItems count="2">
        <s v="Normale"/>
        <s v="Abberante"/>
      </sharedItems>
    </cacheField>
    <cacheField name="Année" numFmtId="0">
      <sharedItems containsSemiMixedTypes="0" containsString="0" containsNumber="1" containsInteger="1" minValue="2024" maxValue="2025" count="2">
        <n v="2024"/>
        <n v="2025"/>
      </sharedItems>
    </cacheField>
  </cacheFields>
  <extLst>
    <ext xmlns:x14="http://schemas.microsoft.com/office/spreadsheetml/2009/9/main" uri="{725AE2AE-9491-48be-B2B4-4EB974FC3084}">
      <x14:pivotCacheDefinition pivotCacheId="4159933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0">
  <r>
    <s v="T-100000"/>
    <d v="2024-10-03T00:00:00"/>
    <s v="​Atsou Kpodo  "/>
    <x v="0"/>
    <x v="0"/>
    <n v="131.19"/>
    <x v="0"/>
    <n v="12"/>
    <n v="1574.28"/>
    <x v="0"/>
    <x v="0"/>
    <x v="0"/>
    <s v="CHKAGR"/>
    <x v="0"/>
    <x v="0"/>
    <x v="0"/>
    <x v="0"/>
  </r>
  <r>
    <s v="T-100001"/>
    <d v="2024-04-11T00:00:00"/>
    <s v="Kodjo Lawson"/>
    <x v="1"/>
    <x v="1"/>
    <n v="30.58"/>
    <x v="1"/>
    <n v="21"/>
    <n v="642.23"/>
    <x v="0"/>
    <x v="0"/>
    <x v="1"/>
    <s v="OKEDU"/>
    <x v="1"/>
    <x v="0"/>
    <x v="0"/>
    <x v="0"/>
  </r>
  <r>
    <s v="T-100002"/>
    <d v="2024-09-26T00:00:00"/>
    <s v="Yawa Mensah"/>
    <x v="2"/>
    <x v="0"/>
    <n v="2441.81"/>
    <x v="2"/>
    <n v="0"/>
    <n v="0"/>
    <x v="1"/>
    <x v="1"/>
    <x v="2"/>
    <s v="CHKÉNE"/>
    <x v="2"/>
    <x v="0"/>
    <x v="0"/>
    <x v="0"/>
  </r>
  <r>
    <s v="T-100003"/>
    <d v="2025-04-17T00:00:00"/>
    <s v="Atsou Ayivi"/>
    <x v="3"/>
    <x v="1"/>
    <n v="271.68"/>
    <x v="3"/>
    <n v="5"/>
    <n v="1358.39"/>
    <x v="0"/>
    <x v="1"/>
    <x v="3"/>
    <s v="CHKTEL"/>
    <x v="1"/>
    <x v="0"/>
    <x v="0"/>
    <x v="1"/>
  </r>
  <r>
    <s v="T-100004"/>
    <d v="2024-01-11T00:00:00"/>
    <s v="Eyram Kpodo"/>
    <x v="2"/>
    <x v="2"/>
    <n v="2150"/>
    <x v="4"/>
    <n v="1"/>
    <n v="2150"/>
    <x v="0"/>
    <x v="1"/>
    <x v="4"/>
    <s v="OKFMC"/>
    <x v="3"/>
    <x v="0"/>
    <x v="0"/>
    <x v="0"/>
  </r>
  <r>
    <s v="T-100005"/>
    <d v="2024-08-01T00:00:00"/>
    <s v="Mawuli Mensah"/>
    <x v="0"/>
    <x v="1"/>
    <n v="152.44999999999999"/>
    <x v="5"/>
    <n v="13"/>
    <n v="1981.89"/>
    <x v="0"/>
    <x v="0"/>
    <x v="2"/>
    <s v="OKÉNE"/>
    <x v="4"/>
    <x v="0"/>
    <x v="0"/>
    <x v="0"/>
  </r>
  <r>
    <s v="T-100006"/>
    <d v="2025-07-08T00:00:00"/>
    <s v="Mawuli Amouzou"/>
    <x v="4"/>
    <x v="1"/>
    <n v="314.77999999999997"/>
    <x v="6"/>
    <n v="10"/>
    <n v="3147.8"/>
    <x v="1"/>
    <x v="0"/>
    <x v="3"/>
    <s v="CHKTEL"/>
    <x v="5"/>
    <x v="1"/>
    <x v="0"/>
    <x v="1"/>
  </r>
  <r>
    <s v="T-100007"/>
    <d v="2025-08-07T00:00:00"/>
    <s v="Afi Agbo"/>
    <x v="2"/>
    <x v="1"/>
    <n v="259.10000000000002"/>
    <x v="7"/>
    <n v="9"/>
    <n v="2331.88"/>
    <x v="0"/>
    <x v="1"/>
    <x v="1"/>
    <s v="CHKEDU"/>
    <x v="4"/>
    <x v="0"/>
    <x v="0"/>
    <x v="1"/>
  </r>
  <r>
    <s v="T-100008"/>
    <d v="2024-03-17T00:00:00"/>
    <s v="Kossi Kpodo"/>
    <x v="0"/>
    <x v="0"/>
    <n v="333.85"/>
    <x v="8"/>
    <n v="15"/>
    <n v="5007.74"/>
    <x v="2"/>
    <x v="0"/>
    <x v="0"/>
    <s v="OKAGR"/>
    <x v="6"/>
    <x v="2"/>
    <x v="1"/>
    <x v="0"/>
  </r>
  <r>
    <s v="T-100009"/>
    <d v="2024-04-08T00:00:00"/>
    <s v="Sena Kossi"/>
    <x v="1"/>
    <x v="3"/>
    <n v="1882.51"/>
    <x v="9"/>
    <n v="1"/>
    <n v="1882.51"/>
    <x v="2"/>
    <x v="1"/>
    <x v="0"/>
    <s v="OKAGR"/>
    <x v="1"/>
    <x v="3"/>
    <x v="0"/>
    <x v="0"/>
  </r>
  <r>
    <s v="T-100010"/>
    <d v="2024-05-03T00:00:00"/>
    <s v="Afi Kpodo"/>
    <x v="3"/>
    <x v="4"/>
    <n v="1444"/>
    <x v="10"/>
    <n v="1"/>
    <n v="1444"/>
    <x v="0"/>
    <x v="1"/>
    <x v="0"/>
    <s v="OKAGR"/>
    <x v="7"/>
    <x v="4"/>
    <x v="0"/>
    <x v="0"/>
  </r>
  <r>
    <s v="T-100011"/>
    <d v="2025-09-05T00:00:00"/>
    <s v="Elom Ayivi"/>
    <x v="1"/>
    <x v="1"/>
    <n v="193.89"/>
    <x v="11"/>
    <n v="9"/>
    <n v="1745.03"/>
    <x v="0"/>
    <x v="1"/>
    <x v="3"/>
    <s v="OKTEL"/>
    <x v="2"/>
    <x v="4"/>
    <x v="0"/>
    <x v="1"/>
  </r>
  <r>
    <s v="T-100012"/>
    <d v="2025-07-17T00:00:00"/>
    <s v="Mawuli Ayivi"/>
    <x v="4"/>
    <x v="2"/>
    <n v="30.46"/>
    <x v="12"/>
    <n v="79"/>
    <n v="2406.34"/>
    <x v="1"/>
    <x v="0"/>
    <x v="2"/>
    <s v="OKÉNE"/>
    <x v="5"/>
    <x v="0"/>
    <x v="0"/>
    <x v="1"/>
  </r>
  <r>
    <s v="T-100013"/>
    <d v="2025-10-05T00:00:00"/>
    <s v="Akofa Agbo"/>
    <x v="0"/>
    <x v="0"/>
    <n v="289.5"/>
    <x v="13"/>
    <n v="17"/>
    <n v="4921.53"/>
    <x v="2"/>
    <x v="0"/>
    <x v="2"/>
    <s v="CHKÉNE"/>
    <x v="0"/>
    <x v="2"/>
    <x v="1"/>
    <x v="1"/>
  </r>
  <r>
    <s v="T-100014"/>
    <d v="2024-10-21T00:00:00"/>
    <s v="Sena Lawson"/>
    <x v="3"/>
    <x v="3"/>
    <n v="2544.67"/>
    <x v="10"/>
    <n v="1"/>
    <n v="2544.67"/>
    <x v="0"/>
    <x v="1"/>
    <x v="4"/>
    <s v="CHKFMC"/>
    <x v="0"/>
    <x v="3"/>
    <x v="0"/>
    <x v="0"/>
  </r>
  <r>
    <s v="T-100015"/>
    <d v="2024-08-14T00:00:00"/>
    <s v="Akofa Amouzou"/>
    <x v="2"/>
    <x v="2"/>
    <n v="1488.41"/>
    <x v="4"/>
    <n v="1"/>
    <n v="1488.41"/>
    <x v="0"/>
    <x v="1"/>
    <x v="0"/>
    <s v="REVAGR"/>
    <x v="4"/>
    <x v="5"/>
    <x v="0"/>
    <x v="0"/>
  </r>
  <r>
    <s v="T-100016"/>
    <d v="2025-01-12T00:00:00"/>
    <s v="Mawuli Amouzou"/>
    <x v="4"/>
    <x v="0"/>
    <n v="88.52"/>
    <x v="14"/>
    <n v="9"/>
    <n v="796.66"/>
    <x v="0"/>
    <x v="1"/>
    <x v="0"/>
    <s v="REVAGR"/>
    <x v="3"/>
    <x v="2"/>
    <x v="0"/>
    <x v="1"/>
  </r>
  <r>
    <s v="T-100017"/>
    <d v="2024-02-29T00:00:00"/>
    <s v="Atsou Mensah"/>
    <x v="3"/>
    <x v="2"/>
    <n v="246.55"/>
    <x v="15"/>
    <n v="11"/>
    <n v="2712"/>
    <x v="0"/>
    <x v="0"/>
    <x v="4"/>
    <s v="OKFMC"/>
    <x v="8"/>
    <x v="0"/>
    <x v="0"/>
    <x v="0"/>
  </r>
  <r>
    <s v="T-100018"/>
    <d v="2024-09-27T00:00:00"/>
    <s v="Client Unknown"/>
    <x v="0"/>
    <x v="0"/>
    <n v="18.399999999999999"/>
    <x v="5"/>
    <n v="95"/>
    <n v="1747.57"/>
    <x v="0"/>
    <x v="0"/>
    <x v="2"/>
    <s v="CHKÉNE"/>
    <x v="2"/>
    <x v="4"/>
    <x v="0"/>
    <x v="0"/>
  </r>
  <r>
    <s v="T-100019"/>
    <d v="2025-01-19T00:00:00"/>
    <s v="Kodjo Hounkpati"/>
    <x v="2"/>
    <x v="0"/>
    <n v="134.05000000000001"/>
    <x v="16"/>
    <n v="14"/>
    <n v="1876.65"/>
    <x v="0"/>
    <x v="0"/>
    <x v="3"/>
    <s v="OKTEL"/>
    <x v="3"/>
    <x v="2"/>
    <x v="0"/>
    <x v="1"/>
  </r>
  <r>
    <s v="T-100020"/>
    <d v="2025-08-12T00:00:00"/>
    <s v="Yawa Kossi"/>
    <x v="4"/>
    <x v="3"/>
    <n v="181.48"/>
    <x v="12"/>
    <n v="14"/>
    <n v="2540.67"/>
    <x v="0"/>
    <x v="0"/>
    <x v="1"/>
    <s v="CHKEDU"/>
    <x v="4"/>
    <x v="1"/>
    <x v="0"/>
    <x v="1"/>
  </r>
  <r>
    <s v="T-100021"/>
    <d v="2024-12-01T00:00:00"/>
    <s v="​Atsou Amouzou  "/>
    <x v="3"/>
    <x v="0"/>
    <n v="576.48"/>
    <x v="15"/>
    <n v="8"/>
    <n v="4611.84"/>
    <x v="0"/>
    <x v="0"/>
    <x v="0"/>
    <s v="CHKAGR"/>
    <x v="9"/>
    <x v="2"/>
    <x v="1"/>
    <x v="0"/>
  </r>
  <r>
    <s v="T-100022"/>
    <d v="2025-01-19T00:00:00"/>
    <s v="Mawuli Lawson"/>
    <x v="2"/>
    <x v="1"/>
    <n v="115.14"/>
    <x v="4"/>
    <n v="14"/>
    <n v="1611.99"/>
    <x v="0"/>
    <x v="0"/>
    <x v="3"/>
    <s v="CHKTEL"/>
    <x v="3"/>
    <x v="2"/>
    <x v="0"/>
    <x v="1"/>
  </r>
  <r>
    <s v="T-100023"/>
    <d v="2025-02-17T00:00:00"/>
    <s v="Kossi Ayivi"/>
    <x v="2"/>
    <x v="3"/>
    <n v="2590"/>
    <x v="16"/>
    <n v="1"/>
    <n v="2590"/>
    <x v="0"/>
    <x v="1"/>
    <x v="3"/>
    <s v="OKTEL"/>
    <x v="8"/>
    <x v="3"/>
    <x v="0"/>
    <x v="1"/>
  </r>
  <r>
    <s v="T-100024"/>
    <d v="2025-06-10T00:00:00"/>
    <s v="Afi Mensah"/>
    <x v="2"/>
    <x v="0"/>
    <n v="78.77"/>
    <x v="7"/>
    <n v="10"/>
    <n v="787.72"/>
    <x v="1"/>
    <x v="1"/>
    <x v="4"/>
    <s v="OKFMC"/>
    <x v="10"/>
    <x v="1"/>
    <x v="0"/>
    <x v="1"/>
  </r>
  <r>
    <s v="T-100025"/>
    <d v="2024-05-20T00:00:00"/>
    <s v="Akofa Kpodo"/>
    <x v="0"/>
    <x v="2"/>
    <n v="188.82"/>
    <x v="5"/>
    <n v="7"/>
    <n v="1321.77"/>
    <x v="0"/>
    <x v="1"/>
    <x v="1"/>
    <s v="CHKEDU"/>
    <x v="7"/>
    <x v="3"/>
    <x v="0"/>
    <x v="0"/>
  </r>
  <r>
    <s v="T-100026"/>
    <d v="2025-04-29T00:00:00"/>
    <s v="Kodjo Ayivi"/>
    <x v="0"/>
    <x v="1"/>
    <n v="255.5"/>
    <x v="8"/>
    <n v="11"/>
    <n v="2810.47"/>
    <x v="1"/>
    <x v="0"/>
    <x v="2"/>
    <s v="OKÉNE"/>
    <x v="1"/>
    <x v="1"/>
    <x v="0"/>
    <x v="1"/>
  </r>
  <r>
    <s v="T-100027"/>
    <d v="2024-04-13T00:00:00"/>
    <s v="Afi Gbogbo"/>
    <x v="0"/>
    <x v="2"/>
    <n v="444.64"/>
    <x v="8"/>
    <n v="6"/>
    <n v="2667.84"/>
    <x v="0"/>
    <x v="1"/>
    <x v="2"/>
    <s v="OKÉNE"/>
    <x v="1"/>
    <x v="6"/>
    <x v="0"/>
    <x v="0"/>
  </r>
  <r>
    <s v="T-100028"/>
    <d v="2024-11-26T00:00:00"/>
    <s v="Yawa Amouzou"/>
    <x v="0"/>
    <x v="2"/>
    <n v="124"/>
    <x v="8"/>
    <n v="11"/>
    <n v="1363.95"/>
    <x v="0"/>
    <x v="0"/>
    <x v="3"/>
    <s v="CHKTEL"/>
    <x v="11"/>
    <x v="1"/>
    <x v="0"/>
    <x v="0"/>
  </r>
  <r>
    <s v="T-100029"/>
    <d v="2024-06-09T00:00:00"/>
    <s v="Kossi Tete"/>
    <x v="2"/>
    <x v="2"/>
    <n v="113.69"/>
    <x v="2"/>
    <n v="15"/>
    <n v="1705.38"/>
    <x v="0"/>
    <x v="0"/>
    <x v="3"/>
    <s v="CHKTEL"/>
    <x v="10"/>
    <x v="2"/>
    <x v="0"/>
    <x v="0"/>
  </r>
  <r>
    <s v="T-100030"/>
    <d v="2025-05-16T00:00:00"/>
    <s v="Client Unknown"/>
    <x v="4"/>
    <x v="4"/>
    <n v="131.13999999999999"/>
    <x v="14"/>
    <n v="16"/>
    <n v="2098.31"/>
    <x v="0"/>
    <x v="0"/>
    <x v="4"/>
    <s v="CHKFMC"/>
    <x v="7"/>
    <x v="4"/>
    <x v="0"/>
    <x v="1"/>
  </r>
  <r>
    <s v="T-100031"/>
    <d v="2024-03-20T00:00:00"/>
    <s v="Akofa Hounkpati"/>
    <x v="0"/>
    <x v="2"/>
    <n v="261.5"/>
    <x v="13"/>
    <n v="6"/>
    <n v="1569"/>
    <x v="0"/>
    <x v="1"/>
    <x v="4"/>
    <s v="OKFMC"/>
    <x v="6"/>
    <x v="5"/>
    <x v="0"/>
    <x v="0"/>
  </r>
  <r>
    <s v="T-100032"/>
    <d v="2025-09-20T00:00:00"/>
    <s v="Eyram Amouzou"/>
    <x v="0"/>
    <x v="1"/>
    <n v="111.92"/>
    <x v="8"/>
    <n v="12"/>
    <n v="1343.05"/>
    <x v="2"/>
    <x v="0"/>
    <x v="3"/>
    <s v="OKTEL"/>
    <x v="2"/>
    <x v="6"/>
    <x v="0"/>
    <x v="1"/>
  </r>
  <r>
    <s v="T-100033"/>
    <d v="2024-02-12T00:00:00"/>
    <s v="Atsou Amouzou"/>
    <x v="1"/>
    <x v="2"/>
    <n v="31.74"/>
    <x v="9"/>
    <n v="77"/>
    <n v="2444.0700000000002"/>
    <x v="0"/>
    <x v="0"/>
    <x v="2"/>
    <s v="REVÉNE"/>
    <x v="8"/>
    <x v="3"/>
    <x v="0"/>
    <x v="0"/>
  </r>
  <r>
    <s v="T-100034"/>
    <d v="2024-08-04T00:00:00"/>
    <s v="Elom Mensah"/>
    <x v="2"/>
    <x v="3"/>
    <n v="2895.04"/>
    <x v="2"/>
    <n v="1"/>
    <n v="2895.04"/>
    <x v="0"/>
    <x v="1"/>
    <x v="0"/>
    <s v="OKAGR"/>
    <x v="4"/>
    <x v="2"/>
    <x v="0"/>
    <x v="0"/>
  </r>
  <r>
    <s v="T-100035"/>
    <d v="2025-05-17T00:00:00"/>
    <s v="Akofa Kpodo"/>
    <x v="0"/>
    <x v="2"/>
    <n v="184.92"/>
    <x v="5"/>
    <n v="9"/>
    <n v="1664.31"/>
    <x v="2"/>
    <x v="1"/>
    <x v="3"/>
    <s v="CHKTEL"/>
    <x v="7"/>
    <x v="6"/>
    <x v="0"/>
    <x v="1"/>
  </r>
  <r>
    <s v="T-100036"/>
    <d v="2025-02-28T00:00:00"/>
    <s v="Mawuli Lawson"/>
    <x v="4"/>
    <x v="0"/>
    <n v="114.33"/>
    <x v="12"/>
    <n v="10"/>
    <n v="1143.33"/>
    <x v="0"/>
    <x v="1"/>
    <x v="2"/>
    <s v="OKÉNE"/>
    <x v="8"/>
    <x v="4"/>
    <x v="0"/>
    <x v="1"/>
  </r>
  <r>
    <s v="T-100037"/>
    <d v="2024-08-08T00:00:00"/>
    <s v="Client Unknown"/>
    <x v="2"/>
    <x v="1"/>
    <n v="319.85000000000002"/>
    <x v="2"/>
    <n v="9"/>
    <n v="2878.63"/>
    <x v="0"/>
    <x v="1"/>
    <x v="2"/>
    <s v="REVÉNE"/>
    <x v="4"/>
    <x v="0"/>
    <x v="0"/>
    <x v="0"/>
  </r>
  <r>
    <s v="T-100038"/>
    <d v="2024-06-08T00:00:00"/>
    <s v="Eyram Tete"/>
    <x v="2"/>
    <x v="3"/>
    <n v="221.69"/>
    <x v="16"/>
    <n v="12"/>
    <n v="2660.2799999999997"/>
    <x v="1"/>
    <x v="0"/>
    <x v="0"/>
    <s v="CHKAGR"/>
    <x v="10"/>
    <x v="6"/>
    <x v="0"/>
    <x v="0"/>
  </r>
  <r>
    <s v="T-100039"/>
    <d v="2025-06-26T00:00:00"/>
    <s v="Kodjo Tete"/>
    <x v="3"/>
    <x v="0"/>
    <n v="108.29"/>
    <x v="17"/>
    <n v="16"/>
    <n v="1732.58"/>
    <x v="0"/>
    <x v="0"/>
    <x v="0"/>
    <s v="CHKAGR"/>
    <x v="10"/>
    <x v="0"/>
    <x v="0"/>
    <x v="1"/>
  </r>
  <r>
    <s v="T-100040"/>
    <d v="2025-03-10T00:00:00"/>
    <s v="Client Unknown"/>
    <x v="4"/>
    <x v="3"/>
    <n v="284.52"/>
    <x v="12"/>
    <n v="15"/>
    <n v="4267.8100000000004"/>
    <x v="1"/>
    <x v="0"/>
    <x v="3"/>
    <s v="CHKTEL"/>
    <x v="6"/>
    <x v="3"/>
    <x v="1"/>
    <x v="1"/>
  </r>
  <r>
    <s v="T-100041"/>
    <d v="2025-04-13T00:00:00"/>
    <s v="​Sena Agbo  "/>
    <x v="0"/>
    <x v="3"/>
    <n v="88.22"/>
    <x v="8"/>
    <n v="18"/>
    <n v="1588"/>
    <x v="2"/>
    <x v="0"/>
    <x v="0"/>
    <s v="CHKAGR"/>
    <x v="1"/>
    <x v="2"/>
    <x v="0"/>
    <x v="1"/>
  </r>
  <r>
    <s v="T-100042"/>
    <d v="2025-02-15T00:00:00"/>
    <s v="Mawuli Lawson"/>
    <x v="2"/>
    <x v="0"/>
    <n v="214.33"/>
    <x v="4"/>
    <n v="9"/>
    <n v="1929"/>
    <x v="0"/>
    <x v="1"/>
    <x v="3"/>
    <s v="REVTEL"/>
    <x v="8"/>
    <x v="6"/>
    <x v="0"/>
    <x v="1"/>
  </r>
  <r>
    <s v="T-100043"/>
    <d v="2025-02-14T00:00:00"/>
    <s v="Yawa Hounkpati"/>
    <x v="2"/>
    <x v="1"/>
    <n v="276.85000000000002"/>
    <x v="16"/>
    <n v="5"/>
    <n v="1384.27"/>
    <x v="0"/>
    <x v="1"/>
    <x v="4"/>
    <s v="OKFMC"/>
    <x v="8"/>
    <x v="4"/>
    <x v="0"/>
    <x v="1"/>
  </r>
  <r>
    <s v="T-100044"/>
    <d v="2024-07-02T00:00:00"/>
    <s v="Yawa Lawson"/>
    <x v="0"/>
    <x v="3"/>
    <n v="329.88"/>
    <x v="5"/>
    <n v="8"/>
    <n v="2639.03"/>
    <x v="0"/>
    <x v="1"/>
    <x v="4"/>
    <s v="CHKFMC"/>
    <x v="5"/>
    <x v="1"/>
    <x v="0"/>
    <x v="0"/>
  </r>
  <r>
    <s v="T-100045"/>
    <d v="2024-04-06T00:00:00"/>
    <s v="Afi Hounkpati"/>
    <x v="4"/>
    <x v="3"/>
    <n v="55.78"/>
    <x v="18"/>
    <n v="16"/>
    <n v="892.47"/>
    <x v="1"/>
    <x v="0"/>
    <x v="4"/>
    <s v="CHKFMC"/>
    <x v="1"/>
    <x v="6"/>
    <x v="0"/>
    <x v="0"/>
  </r>
  <r>
    <s v="T-100046"/>
    <d v="2025-07-24T00:00:00"/>
    <s v="Elom Gbogbo"/>
    <x v="4"/>
    <x v="3"/>
    <n v="28.02"/>
    <x v="12"/>
    <n v="14"/>
    <n v="392.27"/>
    <x v="0"/>
    <x v="0"/>
    <x v="3"/>
    <s v="REVTEL"/>
    <x v="5"/>
    <x v="0"/>
    <x v="0"/>
    <x v="1"/>
  </r>
  <r>
    <s v="T-100047"/>
    <d v="2024-03-20T00:00:00"/>
    <s v="Sena Gbogbo"/>
    <x v="1"/>
    <x v="4"/>
    <n v="186.31"/>
    <x v="11"/>
    <n v="13"/>
    <n v="2422"/>
    <x v="2"/>
    <x v="0"/>
    <x v="4"/>
    <s v="REVFMC"/>
    <x v="6"/>
    <x v="5"/>
    <x v="0"/>
    <x v="0"/>
  </r>
  <r>
    <s v="T-100048"/>
    <d v="2025-03-25T00:00:00"/>
    <s v="Afi Agbo"/>
    <x v="2"/>
    <x v="4"/>
    <n v="189.6"/>
    <x v="7"/>
    <n v="8"/>
    <n v="1516.79"/>
    <x v="0"/>
    <x v="1"/>
    <x v="0"/>
    <s v="CHKAGR"/>
    <x v="6"/>
    <x v="1"/>
    <x v="0"/>
    <x v="1"/>
  </r>
  <r>
    <s v="T-100049"/>
    <d v="2024-02-01T00:00:00"/>
    <s v="Kodjo Kossi"/>
    <x v="3"/>
    <x v="4"/>
    <n v="266.33"/>
    <x v="15"/>
    <n v="7"/>
    <n v="1864.32"/>
    <x v="0"/>
    <x v="1"/>
    <x v="4"/>
    <s v="OKFMC"/>
    <x v="8"/>
    <x v="0"/>
    <x v="0"/>
    <x v="0"/>
  </r>
  <r>
    <s v="T-100050"/>
    <d v="2025-04-18T00:00:00"/>
    <s v="Yawa Agbo"/>
    <x v="3"/>
    <x v="0"/>
    <n v="11.95"/>
    <x v="3"/>
    <n v="107"/>
    <n v="1278.43"/>
    <x v="0"/>
    <x v="0"/>
    <x v="3"/>
    <s v="CHKTEL"/>
    <x v="1"/>
    <x v="4"/>
    <x v="0"/>
    <x v="1"/>
  </r>
  <r>
    <s v="T-100051"/>
    <d v="2025-08-30T00:00:00"/>
    <s v="Sena Agbo"/>
    <x v="3"/>
    <x v="4"/>
    <n v="275.16000000000003"/>
    <x v="15"/>
    <n v="6"/>
    <n v="1650.98"/>
    <x v="0"/>
    <x v="1"/>
    <x v="1"/>
    <s v="REVEDU"/>
    <x v="4"/>
    <x v="6"/>
    <x v="0"/>
    <x v="1"/>
  </r>
  <r>
    <s v="T-100052"/>
    <d v="2024-02-02T00:00:00"/>
    <s v="afi amouzou"/>
    <x v="3"/>
    <x v="0"/>
    <n v="1298"/>
    <x v="10"/>
    <n v="1"/>
    <n v="1298"/>
    <x v="0"/>
    <x v="1"/>
    <x v="1"/>
    <s v="REVEDU"/>
    <x v="8"/>
    <x v="4"/>
    <x v="0"/>
    <x v="0"/>
  </r>
  <r>
    <s v="T-100053"/>
    <d v="2024-04-23T00:00:00"/>
    <s v="Elom Gbogbo"/>
    <x v="0"/>
    <x v="1"/>
    <n v="414.79"/>
    <x v="5"/>
    <n v="5"/>
    <n v="13174.279999999999"/>
    <x v="2"/>
    <x v="0"/>
    <x v="0"/>
    <s v="CHKAGR"/>
    <x v="1"/>
    <x v="1"/>
    <x v="1"/>
    <x v="0"/>
  </r>
  <r>
    <s v="T-100054"/>
    <d v="2024-03-28T00:00:00"/>
    <s v="Eyram Kpodo"/>
    <x v="2"/>
    <x v="3"/>
    <n v="122.52"/>
    <x v="7"/>
    <n v="7"/>
    <n v="857.65"/>
    <x v="0"/>
    <x v="1"/>
    <x v="0"/>
    <s v="REVAGR"/>
    <x v="6"/>
    <x v="0"/>
    <x v="0"/>
    <x v="0"/>
  </r>
  <r>
    <s v="T-100055"/>
    <d v="2024-06-05T00:00:00"/>
    <s v="Mawuli Kpodo"/>
    <x v="3"/>
    <x v="3"/>
    <n v="72.42"/>
    <x v="10"/>
    <n v="9"/>
    <n v="651.74"/>
    <x v="1"/>
    <x v="1"/>
    <x v="0"/>
    <s v="OKAGR"/>
    <x v="10"/>
    <x v="5"/>
    <x v="0"/>
    <x v="0"/>
  </r>
  <r>
    <s v="T-100056"/>
    <d v="2025-08-21T00:00:00"/>
    <s v="Kossi Kossi"/>
    <x v="1"/>
    <x v="2"/>
    <n v="248.57"/>
    <x v="19"/>
    <n v="7"/>
    <n v="1740"/>
    <x v="2"/>
    <x v="1"/>
    <x v="2"/>
    <s v="OKÉNE"/>
    <x v="4"/>
    <x v="0"/>
    <x v="0"/>
    <x v="1"/>
  </r>
  <r>
    <s v="T-100057"/>
    <d v="2024-06-11T00:00:00"/>
    <s v="Kodjo Lawson"/>
    <x v="2"/>
    <x v="4"/>
    <n v="257.02"/>
    <x v="4"/>
    <n v="9"/>
    <n v="2313.16"/>
    <x v="0"/>
    <x v="1"/>
    <x v="1"/>
    <s v="OKEDU"/>
    <x v="10"/>
    <x v="1"/>
    <x v="0"/>
    <x v="0"/>
  </r>
  <r>
    <s v="T-100058"/>
    <d v="2025-04-25T00:00:00"/>
    <s v="Yawa Kpodo"/>
    <x v="1"/>
    <x v="2"/>
    <n v="85.68"/>
    <x v="1"/>
    <n v="6"/>
    <n v="514.08000000000004"/>
    <x v="0"/>
    <x v="1"/>
    <x v="3"/>
    <s v="OKTEL"/>
    <x v="1"/>
    <x v="4"/>
    <x v="0"/>
    <x v="1"/>
  </r>
  <r>
    <s v="T-100059"/>
    <d v="2025-09-08T00:00:00"/>
    <s v="Eyram Agbo"/>
    <x v="0"/>
    <x v="2"/>
    <n v="471.58"/>
    <x v="8"/>
    <n v="12"/>
    <n v="5658.96"/>
    <x v="0"/>
    <x v="0"/>
    <x v="2"/>
    <s v="REVÉNE"/>
    <x v="2"/>
    <x v="3"/>
    <x v="1"/>
    <x v="1"/>
  </r>
  <r>
    <s v="T-100060"/>
    <d v="2024-10-21T00:00:00"/>
    <s v="Kodjo Lawson"/>
    <x v="1"/>
    <x v="3"/>
    <n v="128.18"/>
    <x v="9"/>
    <n v="15"/>
    <n v="1922.72"/>
    <x v="0"/>
    <x v="0"/>
    <x v="4"/>
    <s v="CHKFMC"/>
    <x v="0"/>
    <x v="3"/>
    <x v="0"/>
    <x v="0"/>
  </r>
  <r>
    <s v="T-100061"/>
    <d v="2025-09-07T00:00:00"/>
    <s v="Kodjo Kossi"/>
    <x v="2"/>
    <x v="0"/>
    <n v="96.43"/>
    <x v="2"/>
    <n v="13"/>
    <n v="1253.54"/>
    <x v="2"/>
    <x v="0"/>
    <x v="1"/>
    <s v="CHKEDU"/>
    <x v="2"/>
    <x v="2"/>
    <x v="0"/>
    <x v="1"/>
  </r>
  <r>
    <s v="T-100062"/>
    <d v="2024-06-17T00:00:00"/>
    <s v="Client Unknown"/>
    <x v="0"/>
    <x v="2"/>
    <n v="79.13"/>
    <x v="5"/>
    <n v="12"/>
    <n v="949.59"/>
    <x v="1"/>
    <x v="0"/>
    <x v="4"/>
    <s v="OKFMC"/>
    <x v="10"/>
    <x v="3"/>
    <x v="0"/>
    <x v="0"/>
  </r>
  <r>
    <s v="T-100063"/>
    <d v="2024-03-31T00:00:00"/>
    <s v="Yawa Mensah"/>
    <x v="0"/>
    <x v="1"/>
    <n v="128.49"/>
    <x v="0"/>
    <n v="6"/>
    <n v="770.92"/>
    <x v="2"/>
    <x v="1"/>
    <x v="0"/>
    <s v="OKAGR"/>
    <x v="6"/>
    <x v="2"/>
    <x v="0"/>
    <x v="0"/>
  </r>
  <r>
    <s v="T-100064"/>
    <d v="2025-06-14T00:00:00"/>
    <s v="Eyram Gbogbo"/>
    <x v="1"/>
    <x v="0"/>
    <n v="91.36"/>
    <x v="11"/>
    <n v="14"/>
    <n v="1279"/>
    <x v="0"/>
    <x v="0"/>
    <x v="2"/>
    <s v="CHKÉNE"/>
    <x v="10"/>
    <x v="6"/>
    <x v="0"/>
    <x v="1"/>
  </r>
  <r>
    <s v="T-100065"/>
    <d v="2024-12-30T00:00:00"/>
    <s v="Atsou Ayivi"/>
    <x v="1"/>
    <x v="1"/>
    <n v="523.41999999999996"/>
    <x v="9"/>
    <n v="8"/>
    <n v="4187.34"/>
    <x v="2"/>
    <x v="0"/>
    <x v="4"/>
    <s v="REVFMC"/>
    <x v="9"/>
    <x v="3"/>
    <x v="1"/>
    <x v="0"/>
  </r>
  <r>
    <s v="T-100066"/>
    <d v="2024-10-04T00:00:00"/>
    <s v="Sena Hounkpati"/>
    <x v="1"/>
    <x v="1"/>
    <n v="1471.7"/>
    <x v="19"/>
    <n v="1"/>
    <n v="1471.7"/>
    <x v="0"/>
    <x v="1"/>
    <x v="3"/>
    <s v="CHKTEL"/>
    <x v="0"/>
    <x v="4"/>
    <x v="0"/>
    <x v="0"/>
  </r>
  <r>
    <s v="T-100067"/>
    <d v="2025-04-21T00:00:00"/>
    <s v="Atsou Ayivi"/>
    <x v="3"/>
    <x v="0"/>
    <n v="264.23"/>
    <x v="20"/>
    <n v="6"/>
    <n v="1585.37"/>
    <x v="1"/>
    <x v="1"/>
    <x v="4"/>
    <s v="CHKFMC"/>
    <x v="1"/>
    <x v="3"/>
    <x v="0"/>
    <x v="1"/>
  </r>
  <r>
    <s v="T-100068"/>
    <d v="2024-11-16T00:00:00"/>
    <s v="Yawa Amouzou"/>
    <x v="2"/>
    <x v="0"/>
    <n v="368.87"/>
    <x v="7"/>
    <n v="11"/>
    <n v="4057.55"/>
    <x v="0"/>
    <x v="0"/>
    <x v="4"/>
    <s v="CHKFMC"/>
    <x v="11"/>
    <x v="6"/>
    <x v="0"/>
    <x v="0"/>
  </r>
  <r>
    <s v="T-100069"/>
    <d v="2024-04-29T00:00:00"/>
    <s v="Mawuli Tete"/>
    <x v="4"/>
    <x v="3"/>
    <n v="110.67"/>
    <x v="6"/>
    <n v="14"/>
    <n v="1549.4"/>
    <x v="2"/>
    <x v="0"/>
    <x v="4"/>
    <s v="OKFMC"/>
    <x v="1"/>
    <x v="3"/>
    <x v="0"/>
    <x v="0"/>
  </r>
  <r>
    <s v="T-100070"/>
    <d v="2025-07-30T00:00:00"/>
    <s v="Elom Agbo"/>
    <x v="3"/>
    <x v="2"/>
    <n v="165.21"/>
    <x v="3"/>
    <n v="11"/>
    <n v="1817.29"/>
    <x v="0"/>
    <x v="0"/>
    <x v="0"/>
    <s v="OKAGR"/>
    <x v="5"/>
    <x v="5"/>
    <x v="0"/>
    <x v="1"/>
  </r>
  <r>
    <s v="T-100071"/>
    <d v="2024-10-29T00:00:00"/>
    <s v="Yawa Kpodo"/>
    <x v="0"/>
    <x v="0"/>
    <n v="90.37"/>
    <x v="5"/>
    <n v="17"/>
    <n v="1536.23"/>
    <x v="1"/>
    <x v="0"/>
    <x v="2"/>
    <s v="OKÉNE"/>
    <x v="0"/>
    <x v="1"/>
    <x v="0"/>
    <x v="0"/>
  </r>
  <r>
    <s v="T-100072"/>
    <d v="2024-11-13T00:00:00"/>
    <s v="Akofa Tete"/>
    <x v="1"/>
    <x v="3"/>
    <n v="126.73"/>
    <x v="1"/>
    <n v="11"/>
    <n v="1394"/>
    <x v="2"/>
    <x v="0"/>
    <x v="3"/>
    <s v="OKTEL"/>
    <x v="11"/>
    <x v="5"/>
    <x v="0"/>
    <x v="0"/>
  </r>
  <r>
    <s v="T-100073"/>
    <d v="2025-03-28T00:00:00"/>
    <s v="Eyram Tete"/>
    <x v="4"/>
    <x v="0"/>
    <n v="98.22"/>
    <x v="14"/>
    <n v="18"/>
    <n v="1768"/>
    <x v="0"/>
    <x v="0"/>
    <x v="1"/>
    <s v="OKEDU"/>
    <x v="6"/>
    <x v="4"/>
    <x v="0"/>
    <x v="1"/>
  </r>
  <r>
    <s v="T-100074"/>
    <d v="2024-04-05T00:00:00"/>
    <s v="Kodjo Mensah"/>
    <x v="2"/>
    <x v="4"/>
    <n v="174.41"/>
    <x v="4"/>
    <n v="8"/>
    <n v="1395.25"/>
    <x v="0"/>
    <x v="1"/>
    <x v="3"/>
    <s v="CHKTEL"/>
    <x v="1"/>
    <x v="4"/>
    <x v="0"/>
    <x v="0"/>
  </r>
  <r>
    <s v="T-100075"/>
    <d v="2024-11-18T00:00:00"/>
    <s v="Kodjo Hounkpati"/>
    <x v="2"/>
    <x v="0"/>
    <n v="73.42"/>
    <x v="4"/>
    <n v="12"/>
    <n v="881.05"/>
    <x v="0"/>
    <x v="0"/>
    <x v="2"/>
    <s v="REVÉNE"/>
    <x v="11"/>
    <x v="3"/>
    <x v="0"/>
    <x v="0"/>
  </r>
  <r>
    <s v="T-100076"/>
    <d v="2024-10-25T00:00:00"/>
    <s v="Kodjo Hounkpati"/>
    <x v="4"/>
    <x v="3"/>
    <n v="54.83"/>
    <x v="18"/>
    <n v="13"/>
    <n v="712.73"/>
    <x v="2"/>
    <x v="0"/>
    <x v="0"/>
    <s v="CHKAGR"/>
    <x v="0"/>
    <x v="4"/>
    <x v="0"/>
    <x v="0"/>
  </r>
  <r>
    <s v="T-100077"/>
    <d v="2024-02-01T00:00:00"/>
    <s v="Afi Agbo"/>
    <x v="0"/>
    <x v="2"/>
    <n v="325.17"/>
    <x v="5"/>
    <n v="8"/>
    <n v="2601.35"/>
    <x v="2"/>
    <x v="1"/>
    <x v="1"/>
    <s v="OKEDU"/>
    <x v="8"/>
    <x v="0"/>
    <x v="0"/>
    <x v="0"/>
  </r>
  <r>
    <s v="T-100078"/>
    <d v="2024-02-08T00:00:00"/>
    <s v="Elom Tete"/>
    <x v="4"/>
    <x v="4"/>
    <n v="380.44"/>
    <x v="12"/>
    <n v="9"/>
    <n v="3424"/>
    <x v="0"/>
    <x v="0"/>
    <x v="2"/>
    <s v="REVÉNE"/>
    <x v="8"/>
    <x v="0"/>
    <x v="0"/>
    <x v="0"/>
  </r>
  <r>
    <s v="T-100079"/>
    <d v="2025-02-19T00:00:00"/>
    <s v="Afi Hounkpati"/>
    <x v="4"/>
    <x v="2"/>
    <n v="2101.08"/>
    <x v="6"/>
    <n v="1"/>
    <n v="2101.08"/>
    <x v="2"/>
    <x v="1"/>
    <x v="1"/>
    <s v="CHKEDU"/>
    <x v="8"/>
    <x v="5"/>
    <x v="0"/>
    <x v="1"/>
  </r>
  <r>
    <s v="T-100080"/>
    <d v="2025-04-27T00:00:00"/>
    <s v="Sena Amouzou"/>
    <x v="1"/>
    <x v="4"/>
    <n v="6307.26"/>
    <x v="19"/>
    <n v="1"/>
    <n v="6307.26"/>
    <x v="0"/>
    <x v="0"/>
    <x v="3"/>
    <s v="REVTEL"/>
    <x v="1"/>
    <x v="2"/>
    <x v="1"/>
    <x v="1"/>
  </r>
  <r>
    <s v="T-100081"/>
    <d v="2024-01-28T00:00:00"/>
    <s v="Kodjo Lawson"/>
    <x v="2"/>
    <x v="4"/>
    <n v="66.02"/>
    <x v="16"/>
    <n v="11"/>
    <n v="726.27"/>
    <x v="0"/>
    <x v="0"/>
    <x v="1"/>
    <s v="OKEDU"/>
    <x v="3"/>
    <x v="2"/>
    <x v="0"/>
    <x v="0"/>
  </r>
  <r>
    <s v="T-100082"/>
    <d v="2025-05-09T00:00:00"/>
    <s v="Eyram Lawson"/>
    <x v="4"/>
    <x v="4"/>
    <n v="84.67"/>
    <x v="12"/>
    <n v="9"/>
    <n v="762.06"/>
    <x v="2"/>
    <x v="1"/>
    <x v="3"/>
    <s v="CHKTEL"/>
    <x v="7"/>
    <x v="4"/>
    <x v="0"/>
    <x v="1"/>
  </r>
  <r>
    <s v="T-100083"/>
    <d v="2024-12-18T00:00:00"/>
    <s v="​Kossi Tete  "/>
    <x v="1"/>
    <x v="3"/>
    <n v="234.45"/>
    <x v="9"/>
    <n v="16"/>
    <n v="3751.2"/>
    <x v="2"/>
    <x v="0"/>
    <x v="3"/>
    <s v="OKTEL"/>
    <x v="9"/>
    <x v="5"/>
    <x v="0"/>
    <x v="0"/>
  </r>
  <r>
    <s v="T-100084"/>
    <d v="2024-04-05T00:00:00"/>
    <s v="Mawuli Mensah"/>
    <x v="3"/>
    <x v="4"/>
    <n v="144.77000000000001"/>
    <x v="17"/>
    <n v="13"/>
    <n v="1882"/>
    <x v="0"/>
    <x v="0"/>
    <x v="4"/>
    <s v="CHKFMC"/>
    <x v="1"/>
    <x v="4"/>
    <x v="0"/>
    <x v="0"/>
  </r>
  <r>
    <s v="T-100085"/>
    <d v="2025-04-27T00:00:00"/>
    <s v="Yawa Amouzou"/>
    <x v="4"/>
    <x v="0"/>
    <n v="107.64"/>
    <x v="6"/>
    <n v="18"/>
    <n v="1937.59"/>
    <x v="0"/>
    <x v="0"/>
    <x v="0"/>
    <s v="REVAGR"/>
    <x v="1"/>
    <x v="2"/>
    <x v="0"/>
    <x v="1"/>
  </r>
  <r>
    <s v="T-100086"/>
    <d v="2024-04-28T00:00:00"/>
    <s v="Eyram Agbo"/>
    <x v="3"/>
    <x v="0"/>
    <n v="65.25"/>
    <x v="10"/>
    <n v="12"/>
    <n v="782.94"/>
    <x v="0"/>
    <x v="0"/>
    <x v="3"/>
    <s v="CHKTEL"/>
    <x v="1"/>
    <x v="2"/>
    <x v="0"/>
    <x v="0"/>
  </r>
  <r>
    <s v="T-100087"/>
    <d v="2025-06-02T00:00:00"/>
    <s v="Eyram Kpodo"/>
    <x v="1"/>
    <x v="0"/>
    <n v="183.47"/>
    <x v="1"/>
    <n v="10"/>
    <n v="1834.74"/>
    <x v="0"/>
    <x v="1"/>
    <x v="4"/>
    <s v="REVFMC"/>
    <x v="10"/>
    <x v="3"/>
    <x v="0"/>
    <x v="1"/>
  </r>
  <r>
    <s v="T-100088"/>
    <d v="2024-02-15T00:00:00"/>
    <s v="Eyram Gbogbo"/>
    <x v="2"/>
    <x v="1"/>
    <n v="282.52999999999997"/>
    <x v="7"/>
    <n v="10"/>
    <n v="2825.35"/>
    <x v="2"/>
    <x v="1"/>
    <x v="2"/>
    <s v="OKÉNE"/>
    <x v="8"/>
    <x v="0"/>
    <x v="0"/>
    <x v="0"/>
  </r>
  <r>
    <s v="T-100089"/>
    <d v="2024-05-02T00:00:00"/>
    <s v="Eyram Kossi"/>
    <x v="4"/>
    <x v="4"/>
    <n v="56.2"/>
    <x v="6"/>
    <n v="15"/>
    <n v="843.07"/>
    <x v="1"/>
    <x v="0"/>
    <x v="0"/>
    <s v="OKAGR"/>
    <x v="7"/>
    <x v="0"/>
    <x v="0"/>
    <x v="0"/>
  </r>
  <r>
    <s v="T-100090"/>
    <d v="2025-05-17T00:00:00"/>
    <s v="Sena Amouzou"/>
    <x v="4"/>
    <x v="2"/>
    <n v="203.85"/>
    <x v="12"/>
    <n v="11"/>
    <n v="2242.39"/>
    <x v="0"/>
    <x v="0"/>
    <x v="1"/>
    <s v="CHKEDU"/>
    <x v="7"/>
    <x v="6"/>
    <x v="0"/>
    <x v="1"/>
  </r>
  <r>
    <s v="T-100091"/>
    <d v="2025-04-07T00:00:00"/>
    <s v="Yawa Ayivi"/>
    <x v="1"/>
    <x v="2"/>
    <n v="118.93"/>
    <x v="9"/>
    <n v="13"/>
    <n v="1546.14"/>
    <x v="1"/>
    <x v="0"/>
    <x v="3"/>
    <s v="CHKTEL"/>
    <x v="1"/>
    <x v="3"/>
    <x v="0"/>
    <x v="1"/>
  </r>
  <r>
    <s v="T-100092"/>
    <d v="2025-10-25T00:00:00"/>
    <s v="Yawa Tete"/>
    <x v="0"/>
    <x v="1"/>
    <n v="366.43"/>
    <x v="13"/>
    <n v="14"/>
    <n v="5130.0200000000004"/>
    <x v="0"/>
    <x v="0"/>
    <x v="3"/>
    <s v="CHKTEL"/>
    <x v="0"/>
    <x v="6"/>
    <x v="1"/>
    <x v="1"/>
  </r>
  <r>
    <s v="T-100093"/>
    <d v="2025-01-24T00:00:00"/>
    <s v="Afi Gbogbo"/>
    <x v="0"/>
    <x v="0"/>
    <n v="215.33"/>
    <x v="5"/>
    <n v="6"/>
    <n v="1292"/>
    <x v="0"/>
    <x v="1"/>
    <x v="4"/>
    <s v="CHKFMC"/>
    <x v="3"/>
    <x v="4"/>
    <x v="0"/>
    <x v="1"/>
  </r>
  <r>
    <s v="T-100094"/>
    <d v="2025-01-14T00:00:00"/>
    <s v="Yawa Lawson"/>
    <x v="2"/>
    <x v="1"/>
    <n v="361.83"/>
    <x v="4"/>
    <n v="7"/>
    <n v="2532.8200000000002"/>
    <x v="0"/>
    <x v="1"/>
    <x v="2"/>
    <s v="CHKÉNE"/>
    <x v="3"/>
    <x v="1"/>
    <x v="0"/>
    <x v="1"/>
  </r>
  <r>
    <s v="T-100095"/>
    <d v="2025-02-20T00:00:00"/>
    <s v="Yawa Tete"/>
    <x v="4"/>
    <x v="1"/>
    <n v="382.78"/>
    <x v="12"/>
    <n v="9"/>
    <n v="3445"/>
    <x v="0"/>
    <x v="0"/>
    <x v="3"/>
    <s v="CHKTEL"/>
    <x v="8"/>
    <x v="0"/>
    <x v="0"/>
    <x v="1"/>
  </r>
  <r>
    <s v="T-100096"/>
    <d v="2025-04-26T00:00:00"/>
    <s v="Eyram Gbogbo"/>
    <x v="1"/>
    <x v="3"/>
    <n v="23.81"/>
    <x v="19"/>
    <n v="75"/>
    <n v="1785.84"/>
    <x v="0"/>
    <x v="0"/>
    <x v="0"/>
    <s v="CHKAGR"/>
    <x v="1"/>
    <x v="6"/>
    <x v="0"/>
    <x v="1"/>
  </r>
  <r>
    <s v="T-100097"/>
    <d v="2024-06-02T00:00:00"/>
    <s v="​Sena Agbo  "/>
    <x v="2"/>
    <x v="0"/>
    <n v="173.77"/>
    <x v="7"/>
    <n v="11"/>
    <n v="1911.51"/>
    <x v="0"/>
    <x v="0"/>
    <x v="4"/>
    <s v="OKFMC"/>
    <x v="10"/>
    <x v="2"/>
    <x v="0"/>
    <x v="0"/>
  </r>
  <r>
    <s v="T-100098"/>
    <d v="2024-08-09T00:00:00"/>
    <s v="Eyram Mensah"/>
    <x v="2"/>
    <x v="1"/>
    <n v="209.58"/>
    <x v="7"/>
    <n v="12"/>
    <n v="2515"/>
    <x v="0"/>
    <x v="0"/>
    <x v="0"/>
    <s v="REVAGR"/>
    <x v="4"/>
    <x v="4"/>
    <x v="0"/>
    <x v="0"/>
  </r>
  <r>
    <s v="T-100099"/>
    <d v="2025-08-03T00:00:00"/>
    <s v="Eyram Lawson"/>
    <x v="0"/>
    <x v="3"/>
    <n v="119.44"/>
    <x v="5"/>
    <n v="14"/>
    <n v="1672.13"/>
    <x v="0"/>
    <x v="0"/>
    <x v="0"/>
    <s v="CHKAGR"/>
    <x v="4"/>
    <x v="2"/>
    <x v="0"/>
    <x v="1"/>
  </r>
  <r>
    <s v="T-100100"/>
    <d v="2024-12-13T00:00:00"/>
    <s v="Akofa Kpodo"/>
    <x v="4"/>
    <x v="1"/>
    <n v="125.68"/>
    <x v="14"/>
    <n v="10"/>
    <n v="1256.8399999999999"/>
    <x v="0"/>
    <x v="1"/>
    <x v="4"/>
    <s v="OKFMC"/>
    <x v="9"/>
    <x v="4"/>
    <x v="0"/>
    <x v="0"/>
  </r>
  <r>
    <s v="T-100101"/>
    <d v="2024-10-26T00:00:00"/>
    <s v="Yawa Mensah"/>
    <x v="0"/>
    <x v="4"/>
    <n v="185.17"/>
    <x v="0"/>
    <n v="7"/>
    <n v="1296.19"/>
    <x v="0"/>
    <x v="1"/>
    <x v="3"/>
    <s v="REVTEL"/>
    <x v="0"/>
    <x v="6"/>
    <x v="0"/>
    <x v="0"/>
  </r>
  <r>
    <s v="T-100102"/>
    <d v="2025-05-27T00:00:00"/>
    <s v="Kodjo Hounkpati"/>
    <x v="0"/>
    <x v="3"/>
    <n v="76.03"/>
    <x v="5"/>
    <n v="19"/>
    <n v="1444.64"/>
    <x v="0"/>
    <x v="0"/>
    <x v="0"/>
    <s v="CHKAGR"/>
    <x v="7"/>
    <x v="1"/>
    <x v="0"/>
    <x v="1"/>
  </r>
  <r>
    <s v="T-100103"/>
    <d v="2025-07-14T00:00:00"/>
    <s v="Eyram Mensah"/>
    <x v="0"/>
    <x v="3"/>
    <n v="63.71"/>
    <x v="0"/>
    <n v="18"/>
    <n v="1146.8"/>
    <x v="2"/>
    <x v="0"/>
    <x v="3"/>
    <s v="REVTEL"/>
    <x v="5"/>
    <x v="3"/>
    <x v="0"/>
    <x v="1"/>
  </r>
  <r>
    <s v="T-100104"/>
    <d v="2024-04-23T00:00:00"/>
    <s v="Kodjo Gbogbo"/>
    <x v="1"/>
    <x v="1"/>
    <n v="174.62"/>
    <x v="1"/>
    <n v="13"/>
    <n v="2270"/>
    <x v="0"/>
    <x v="0"/>
    <x v="2"/>
    <s v="CHKÉNE"/>
    <x v="1"/>
    <x v="1"/>
    <x v="0"/>
    <x v="0"/>
  </r>
  <r>
    <s v="T-100105"/>
    <d v="2024-09-23T00:00:00"/>
    <s v="Elom Kossi"/>
    <x v="3"/>
    <x v="2"/>
    <n v="142.41"/>
    <x v="15"/>
    <n v="13"/>
    <n v="1851.37"/>
    <x v="0"/>
    <x v="0"/>
    <x v="4"/>
    <s v="REVFMC"/>
    <x v="2"/>
    <x v="3"/>
    <x v="0"/>
    <x v="0"/>
  </r>
  <r>
    <s v="T-100106"/>
    <d v="2025-07-22T00:00:00"/>
    <s v="Kodjo Kossi"/>
    <x v="2"/>
    <x v="2"/>
    <n v="124.46"/>
    <x v="7"/>
    <n v="11"/>
    <n v="1369.03"/>
    <x v="1"/>
    <x v="0"/>
    <x v="3"/>
    <s v="CHKTEL"/>
    <x v="5"/>
    <x v="1"/>
    <x v="0"/>
    <x v="1"/>
  </r>
  <r>
    <s v="T-100107"/>
    <d v="2024-12-18T00:00:00"/>
    <s v="Kodjo Kpodo"/>
    <x v="3"/>
    <x v="1"/>
    <n v="151.94999999999999"/>
    <x v="10"/>
    <n v="10"/>
    <n v="1519.55"/>
    <x v="0"/>
    <x v="1"/>
    <x v="2"/>
    <s v="CHKÉNE"/>
    <x v="9"/>
    <x v="5"/>
    <x v="0"/>
    <x v="0"/>
  </r>
  <r>
    <s v="T-100108"/>
    <d v="2025-05-29T00:00:00"/>
    <s v="Kodjo Agbo"/>
    <x v="0"/>
    <x v="0"/>
    <n v="326.48"/>
    <x v="0"/>
    <n v="9"/>
    <n v="2938.32"/>
    <x v="1"/>
    <x v="1"/>
    <x v="3"/>
    <s v="CHKTEL"/>
    <x v="7"/>
    <x v="0"/>
    <x v="0"/>
    <x v="1"/>
  </r>
  <r>
    <s v="T-100109"/>
    <d v="2024-07-09T00:00:00"/>
    <s v="Kodjo Gbogbo"/>
    <x v="4"/>
    <x v="1"/>
    <n v="121.67"/>
    <x v="18"/>
    <n v="10"/>
    <n v="1216.7"/>
    <x v="1"/>
    <x v="1"/>
    <x v="1"/>
    <s v="OKEDU"/>
    <x v="5"/>
    <x v="1"/>
    <x v="0"/>
    <x v="0"/>
  </r>
  <r>
    <s v="T-100110"/>
    <d v="2024-11-03T00:00:00"/>
    <s v="Elom Agbo"/>
    <x v="3"/>
    <x v="3"/>
    <n v="85.65"/>
    <x v="17"/>
    <n v="18"/>
    <n v="1541.69"/>
    <x v="2"/>
    <x v="0"/>
    <x v="2"/>
    <s v="CHKÉNE"/>
    <x v="11"/>
    <x v="2"/>
    <x v="0"/>
    <x v="0"/>
  </r>
  <r>
    <s v="T-100111"/>
    <d v="2024-02-04T00:00:00"/>
    <s v="Eyram Kossi"/>
    <x v="3"/>
    <x v="0"/>
    <n v="67.599999999999994"/>
    <x v="15"/>
    <n v="14"/>
    <n v="946.35"/>
    <x v="0"/>
    <x v="0"/>
    <x v="3"/>
    <s v="OKTEL"/>
    <x v="8"/>
    <x v="2"/>
    <x v="0"/>
    <x v="0"/>
  </r>
  <r>
    <s v="T-100112"/>
    <d v="2024-03-12T00:00:00"/>
    <s v="Sena Gbogbo"/>
    <x v="3"/>
    <x v="3"/>
    <n v="263.31"/>
    <x v="3"/>
    <n v="13"/>
    <n v="3423"/>
    <x v="0"/>
    <x v="0"/>
    <x v="1"/>
    <s v="CHKEDU"/>
    <x v="6"/>
    <x v="1"/>
    <x v="0"/>
    <x v="0"/>
  </r>
  <r>
    <s v="T-100113"/>
    <d v="2025-02-10T00:00:00"/>
    <s v="Kodjo Amouzou"/>
    <x v="4"/>
    <x v="0"/>
    <n v="132.25"/>
    <x v="14"/>
    <n v="12"/>
    <n v="1587.06"/>
    <x v="2"/>
    <x v="0"/>
    <x v="4"/>
    <s v="OKFMC"/>
    <x v="8"/>
    <x v="3"/>
    <x v="0"/>
    <x v="1"/>
  </r>
  <r>
    <s v="T-100114"/>
    <d v="2025-09-11T00:00:00"/>
    <s v="Sena Kossi"/>
    <x v="3"/>
    <x v="0"/>
    <n v="99.42"/>
    <x v="3"/>
    <n v="12"/>
    <n v="1193"/>
    <x v="2"/>
    <x v="0"/>
    <x v="0"/>
    <s v="OKAGR"/>
    <x v="2"/>
    <x v="0"/>
    <x v="0"/>
    <x v="1"/>
  </r>
  <r>
    <s v="T-100115"/>
    <d v="2024-12-01T00:00:00"/>
    <s v="Client Unknown"/>
    <x v="4"/>
    <x v="0"/>
    <n v="97.51"/>
    <x v="18"/>
    <n v="9"/>
    <n v="877.58"/>
    <x v="1"/>
    <x v="1"/>
    <x v="4"/>
    <s v="CHKFMC"/>
    <x v="9"/>
    <x v="2"/>
    <x v="0"/>
    <x v="0"/>
  </r>
  <r>
    <s v="T-100116"/>
    <d v="2024-10-08T00:00:00"/>
    <s v="Kodjo Tete"/>
    <x v="3"/>
    <x v="2"/>
    <n v="340.67"/>
    <x v="10"/>
    <n v="9"/>
    <n v="3066"/>
    <x v="0"/>
    <x v="0"/>
    <x v="3"/>
    <s v="CHKTEL"/>
    <x v="0"/>
    <x v="1"/>
    <x v="0"/>
    <x v="0"/>
  </r>
  <r>
    <s v="T-100117"/>
    <d v="2025-01-27T00:00:00"/>
    <s v="Eyram Mensah"/>
    <x v="0"/>
    <x v="0"/>
    <n v="181.91"/>
    <x v="8"/>
    <n v="8"/>
    <n v="1455.24"/>
    <x v="0"/>
    <x v="1"/>
    <x v="1"/>
    <s v="CHKEDU"/>
    <x v="3"/>
    <x v="3"/>
    <x v="0"/>
    <x v="1"/>
  </r>
  <r>
    <s v="T-100118"/>
    <d v="2025-10-06T00:00:00"/>
    <s v="Kossi Gbogbo"/>
    <x v="3"/>
    <x v="2"/>
    <n v="168.34"/>
    <x v="10"/>
    <n v="8"/>
    <n v="1346.68"/>
    <x v="0"/>
    <x v="1"/>
    <x v="0"/>
    <s v="CHKAGR"/>
    <x v="0"/>
    <x v="3"/>
    <x v="0"/>
    <x v="1"/>
  </r>
  <r>
    <s v="T-100119"/>
    <d v="2025-07-13T00:00:00"/>
    <s v="Atsou Kpodo"/>
    <x v="4"/>
    <x v="4"/>
    <n v="80.64"/>
    <x v="6"/>
    <n v="14"/>
    <n v="1129"/>
    <x v="0"/>
    <x v="0"/>
    <x v="3"/>
    <s v="CHKTEL"/>
    <x v="5"/>
    <x v="2"/>
    <x v="0"/>
    <x v="1"/>
  </r>
  <r>
    <s v="T-100120"/>
    <d v="2025-03-31T00:00:00"/>
    <s v="​Yawa Kossi  "/>
    <x v="4"/>
    <x v="2"/>
    <n v="145.13"/>
    <x v="14"/>
    <n v="12"/>
    <n v="1741.52"/>
    <x v="1"/>
    <x v="0"/>
    <x v="3"/>
    <s v="REVTEL"/>
    <x v="6"/>
    <x v="3"/>
    <x v="0"/>
    <x v="1"/>
  </r>
  <r>
    <s v="T-100121"/>
    <d v="2025-07-08T00:00:00"/>
    <s v="Mawuli Ayivi"/>
    <x v="4"/>
    <x v="1"/>
    <n v="312.16000000000003"/>
    <x v="18"/>
    <n v="14"/>
    <n v="4370.17"/>
    <x v="2"/>
    <x v="0"/>
    <x v="0"/>
    <s v="OKAGR"/>
    <x v="5"/>
    <x v="1"/>
    <x v="1"/>
    <x v="1"/>
  </r>
  <r>
    <s v="T-100122"/>
    <d v="2024-09-03T00:00:00"/>
    <s v="Kossi Kossi"/>
    <x v="1"/>
    <x v="1"/>
    <n v="134.28"/>
    <x v="9"/>
    <n v="13"/>
    <n v="1745.58"/>
    <x v="0"/>
    <x v="0"/>
    <x v="1"/>
    <s v="OKEDU"/>
    <x v="2"/>
    <x v="1"/>
    <x v="0"/>
    <x v="0"/>
  </r>
  <r>
    <s v="T-100123"/>
    <d v="2024-08-09T00:00:00"/>
    <s v="Kodjo Tete"/>
    <x v="0"/>
    <x v="1"/>
    <n v="79.430000000000007"/>
    <x v="0"/>
    <n v="16"/>
    <n v="1270.95"/>
    <x v="2"/>
    <x v="0"/>
    <x v="1"/>
    <s v="OKEDU"/>
    <x v="4"/>
    <x v="4"/>
    <x v="0"/>
    <x v="0"/>
  </r>
  <r>
    <s v="T-100124"/>
    <d v="2025-01-14T00:00:00"/>
    <s v="Atsou Kpodo"/>
    <x v="3"/>
    <x v="3"/>
    <n v="169.82"/>
    <x v="10"/>
    <n v="8"/>
    <n v="1358.54"/>
    <x v="2"/>
    <x v="1"/>
    <x v="1"/>
    <s v="OKEDU"/>
    <x v="3"/>
    <x v="1"/>
    <x v="0"/>
    <x v="1"/>
  </r>
  <r>
    <s v="T-100125"/>
    <d v="2024-05-13T00:00:00"/>
    <s v="Afi Ayivi"/>
    <x v="0"/>
    <x v="3"/>
    <n v="404.52"/>
    <x v="0"/>
    <n v="9"/>
    <n v="3640.7"/>
    <x v="0"/>
    <x v="0"/>
    <x v="0"/>
    <s v="CHKAGR"/>
    <x v="7"/>
    <x v="3"/>
    <x v="0"/>
    <x v="0"/>
  </r>
  <r>
    <s v="T-100126"/>
    <d v="2025-02-04T00:00:00"/>
    <s v="Atsou Tete"/>
    <x v="2"/>
    <x v="2"/>
    <n v="99.57"/>
    <x v="16"/>
    <n v="14"/>
    <n v="1393.92"/>
    <x v="0"/>
    <x v="0"/>
    <x v="4"/>
    <s v="REVFMC"/>
    <x v="8"/>
    <x v="1"/>
    <x v="0"/>
    <x v="1"/>
  </r>
  <r>
    <s v="T-100127"/>
    <d v="2025-01-31T00:00:00"/>
    <s v="Elom Mensah"/>
    <x v="3"/>
    <x v="1"/>
    <n v="132.16999999999999"/>
    <x v="15"/>
    <n v="8"/>
    <n v="1057.3499999999999"/>
    <x v="0"/>
    <x v="1"/>
    <x v="0"/>
    <s v="OKAGR"/>
    <x v="3"/>
    <x v="4"/>
    <x v="0"/>
    <x v="1"/>
  </r>
  <r>
    <s v="T-100128"/>
    <d v="2024-03-27T00:00:00"/>
    <s v="Elom Gbogbo"/>
    <x v="1"/>
    <x v="3"/>
    <n v="163.4"/>
    <x v="1"/>
    <n v="10"/>
    <n v="1634"/>
    <x v="2"/>
    <x v="1"/>
    <x v="4"/>
    <s v="OKFMC"/>
    <x v="6"/>
    <x v="5"/>
    <x v="0"/>
    <x v="0"/>
  </r>
  <r>
    <s v="T-100129"/>
    <d v="2025-08-03T00:00:00"/>
    <s v="Mawuli Tete"/>
    <x v="1"/>
    <x v="2"/>
    <n v="202.68"/>
    <x v="1"/>
    <n v="10"/>
    <n v="2026.77"/>
    <x v="0"/>
    <x v="1"/>
    <x v="2"/>
    <s v="CHKÉNE"/>
    <x v="4"/>
    <x v="2"/>
    <x v="0"/>
    <x v="1"/>
  </r>
  <r>
    <s v="T-100130"/>
    <d v="2025-10-23T00:00:00"/>
    <s v="Yawa Tete"/>
    <x v="0"/>
    <x v="3"/>
    <n v="66.819999999999993"/>
    <x v="13"/>
    <n v="12"/>
    <n v="801.88"/>
    <x v="0"/>
    <x v="0"/>
    <x v="0"/>
    <s v="CHKAGR"/>
    <x v="0"/>
    <x v="0"/>
    <x v="0"/>
    <x v="1"/>
  </r>
  <r>
    <s v="T-100131"/>
    <d v="2024-04-18T00:00:00"/>
    <s v="Mawuli Kpodo"/>
    <x v="0"/>
    <x v="2"/>
    <n v="136.75"/>
    <x v="8"/>
    <n v="14"/>
    <n v="1914.51"/>
    <x v="0"/>
    <x v="0"/>
    <x v="4"/>
    <s v="OKFMC"/>
    <x v="1"/>
    <x v="0"/>
    <x v="0"/>
    <x v="0"/>
  </r>
  <r>
    <s v="T-100132"/>
    <d v="2025-08-16T00:00:00"/>
    <s v="Eyram Mensah"/>
    <x v="2"/>
    <x v="3"/>
    <n v="157.08000000000001"/>
    <x v="7"/>
    <n v="13"/>
    <n v="2042"/>
    <x v="0"/>
    <x v="0"/>
    <x v="0"/>
    <s v="REVAGR"/>
    <x v="4"/>
    <x v="6"/>
    <x v="0"/>
    <x v="1"/>
  </r>
  <r>
    <s v="T-100133"/>
    <d v="2025-09-05T00:00:00"/>
    <s v="Atsou Tete"/>
    <x v="4"/>
    <x v="0"/>
    <n v="115.09"/>
    <x v="12"/>
    <n v="11"/>
    <n v="1266"/>
    <x v="1"/>
    <x v="0"/>
    <x v="3"/>
    <s v="CHKTEL"/>
    <x v="2"/>
    <x v="4"/>
    <x v="0"/>
    <x v="1"/>
  </r>
  <r>
    <s v="T-100134"/>
    <d v="2025-06-26T00:00:00"/>
    <s v="Afi Tete"/>
    <x v="0"/>
    <x v="2"/>
    <n v="153.21"/>
    <x v="0"/>
    <n v="14"/>
    <n v="2145"/>
    <x v="0"/>
    <x v="0"/>
    <x v="3"/>
    <s v="REVTEL"/>
    <x v="10"/>
    <x v="0"/>
    <x v="0"/>
    <x v="1"/>
  </r>
  <r>
    <s v="T-100135"/>
    <d v="2025-06-21T00:00:00"/>
    <s v="Eyram Kossi"/>
    <x v="4"/>
    <x v="3"/>
    <n v="181.06"/>
    <x v="6"/>
    <n v="9"/>
    <n v="1629.52"/>
    <x v="0"/>
    <x v="1"/>
    <x v="3"/>
    <s v="OKTEL"/>
    <x v="10"/>
    <x v="6"/>
    <x v="0"/>
    <x v="1"/>
  </r>
  <r>
    <s v="T-100136"/>
    <d v="2024-05-31T00:00:00"/>
    <s v="Kossi Kossi"/>
    <x v="3"/>
    <x v="1"/>
    <n v="46.57"/>
    <x v="3"/>
    <n v="12"/>
    <n v="558.79999999999995"/>
    <x v="0"/>
    <x v="0"/>
    <x v="4"/>
    <s v="CHKFMC"/>
    <x v="7"/>
    <x v="4"/>
    <x v="0"/>
    <x v="0"/>
  </r>
  <r>
    <s v="T-100137"/>
    <d v="2024-04-03T00:00:00"/>
    <s v="Atsou Lawson"/>
    <x v="4"/>
    <x v="2"/>
    <n v="329.22"/>
    <x v="18"/>
    <n v="13"/>
    <n v="4279.8900000000003"/>
    <x v="0"/>
    <x v="0"/>
    <x v="0"/>
    <s v="OKAGR"/>
    <x v="1"/>
    <x v="5"/>
    <x v="1"/>
    <x v="0"/>
  </r>
  <r>
    <s v="T-100138"/>
    <d v="2024-01-03T00:00:00"/>
    <s v="Mawuli Kossi"/>
    <x v="0"/>
    <x v="2"/>
    <n v="71.77"/>
    <x v="5"/>
    <n v="19"/>
    <n v="1363.71"/>
    <x v="1"/>
    <x v="0"/>
    <x v="2"/>
    <s v="REVÉNE"/>
    <x v="3"/>
    <x v="5"/>
    <x v="0"/>
    <x v="0"/>
  </r>
  <r>
    <s v="T-100139"/>
    <d v="2024-04-12T00:00:00"/>
    <s v="Kossi Kpodo"/>
    <x v="2"/>
    <x v="1"/>
    <n v="54.32"/>
    <x v="16"/>
    <n v="64"/>
    <n v="3476.48"/>
    <x v="0"/>
    <x v="0"/>
    <x v="1"/>
    <s v="REVEDU"/>
    <x v="1"/>
    <x v="4"/>
    <x v="0"/>
    <x v="0"/>
  </r>
  <r>
    <s v="T-100140"/>
    <d v="2025-03-07T00:00:00"/>
    <s v="Akofa Kossi"/>
    <x v="0"/>
    <x v="4"/>
    <n v="296.19"/>
    <x v="5"/>
    <n v="15"/>
    <n v="4442.88"/>
    <x v="0"/>
    <x v="0"/>
    <x v="0"/>
    <s v="REVAGR"/>
    <x v="6"/>
    <x v="4"/>
    <x v="1"/>
    <x v="1"/>
  </r>
  <r>
    <s v="T-100141"/>
    <d v="2024-09-24T00:00:00"/>
    <s v="Sena Mensah"/>
    <x v="2"/>
    <x v="3"/>
    <n v="278"/>
    <x v="7"/>
    <n v="12"/>
    <n v="3336"/>
    <x v="0"/>
    <x v="0"/>
    <x v="2"/>
    <s v="OKÉNE"/>
    <x v="2"/>
    <x v="1"/>
    <x v="0"/>
    <x v="0"/>
  </r>
  <r>
    <s v="T-100142"/>
    <d v="2025-09-26T00:00:00"/>
    <s v="Yawa Mensah"/>
    <x v="3"/>
    <x v="2"/>
    <n v="97.4"/>
    <x v="15"/>
    <n v="15"/>
    <n v="1461.02"/>
    <x v="0"/>
    <x v="0"/>
    <x v="0"/>
    <s v="REVAGR"/>
    <x v="2"/>
    <x v="4"/>
    <x v="0"/>
    <x v="1"/>
  </r>
  <r>
    <s v="T-100143"/>
    <d v="2024-08-07T00:00:00"/>
    <s v="Eyram Mensah"/>
    <x v="3"/>
    <x v="0"/>
    <n v="253.05"/>
    <x v="3"/>
    <n v="12"/>
    <n v="3036.66"/>
    <x v="1"/>
    <x v="0"/>
    <x v="3"/>
    <s v="REVTEL"/>
    <x v="4"/>
    <x v="5"/>
    <x v="0"/>
    <x v="0"/>
  </r>
  <r>
    <s v="T-100144"/>
    <d v="2025-06-25T00:00:00"/>
    <s v="Kossi Lawson"/>
    <x v="3"/>
    <x v="3"/>
    <n v="109.85"/>
    <x v="3"/>
    <n v="15"/>
    <n v="1647.78"/>
    <x v="0"/>
    <x v="0"/>
    <x v="0"/>
    <s v="OKAGR"/>
    <x v="10"/>
    <x v="5"/>
    <x v="0"/>
    <x v="1"/>
  </r>
  <r>
    <s v="T-100145"/>
    <d v="2025-02-15T00:00:00"/>
    <s v="Eyram Ayivi"/>
    <x v="4"/>
    <x v="1"/>
    <n v="126.71"/>
    <x v="18"/>
    <n v="11"/>
    <n v="1393.84"/>
    <x v="0"/>
    <x v="0"/>
    <x v="4"/>
    <s v="OKFMC"/>
    <x v="8"/>
    <x v="6"/>
    <x v="0"/>
    <x v="1"/>
  </r>
  <r>
    <s v="T-100146"/>
    <d v="2024-02-14T00:00:00"/>
    <s v="Kossi Mensah"/>
    <x v="3"/>
    <x v="2"/>
    <n v="199.44"/>
    <x v="3"/>
    <n v="12"/>
    <n v="2393.2399999999998"/>
    <x v="0"/>
    <x v="0"/>
    <x v="4"/>
    <s v="CHKFMC"/>
    <x v="8"/>
    <x v="5"/>
    <x v="0"/>
    <x v="0"/>
  </r>
  <r>
    <s v="T-100147"/>
    <d v="2024-04-11T00:00:00"/>
    <s v="Kossi Tete"/>
    <x v="1"/>
    <x v="3"/>
    <n v="150.56"/>
    <x v="19"/>
    <n v="11"/>
    <n v="1656.19"/>
    <x v="0"/>
    <x v="0"/>
    <x v="2"/>
    <s v="OKÉNE"/>
    <x v="1"/>
    <x v="0"/>
    <x v="0"/>
    <x v="0"/>
  </r>
  <r>
    <s v="T-100148"/>
    <d v="2025-10-04T00:00:00"/>
    <s v="Sena Gbogbo"/>
    <x v="4"/>
    <x v="2"/>
    <n v="229.16"/>
    <x v="18"/>
    <n v="9"/>
    <n v="2062.4299999999998"/>
    <x v="0"/>
    <x v="1"/>
    <x v="3"/>
    <s v="REVTEL"/>
    <x v="0"/>
    <x v="6"/>
    <x v="0"/>
    <x v="1"/>
  </r>
  <r>
    <s v="T-100149"/>
    <d v="2025-04-07T00:00:00"/>
    <s v="atsou agbo"/>
    <x v="3"/>
    <x v="4"/>
    <n v="122.48"/>
    <x v="3"/>
    <n v="12"/>
    <n v="1469.77"/>
    <x v="2"/>
    <x v="0"/>
    <x v="0"/>
    <s v="OKAGR"/>
    <x v="1"/>
    <x v="3"/>
    <x v="0"/>
    <x v="1"/>
  </r>
  <r>
    <s v="T-100150"/>
    <d v="2025-09-05T00:00:00"/>
    <s v="Sena Kossi"/>
    <x v="3"/>
    <x v="1"/>
    <n v="191.5"/>
    <x v="10"/>
    <n v="0"/>
    <n v="0"/>
    <x v="0"/>
    <x v="1"/>
    <x v="4"/>
    <s v="OKFMC"/>
    <x v="2"/>
    <x v="4"/>
    <x v="0"/>
    <x v="1"/>
  </r>
  <r>
    <s v="T-100151"/>
    <d v="2024-10-01T00:00:00"/>
    <s v="Elom Tete"/>
    <x v="3"/>
    <x v="3"/>
    <n v="160.59"/>
    <x v="15"/>
    <n v="15"/>
    <n v="2408.9"/>
    <x v="2"/>
    <x v="0"/>
    <x v="4"/>
    <s v="CHKFMC"/>
    <x v="0"/>
    <x v="1"/>
    <x v="0"/>
    <x v="0"/>
  </r>
  <r>
    <s v="T-100152"/>
    <d v="2024-06-23T00:00:00"/>
    <s v="Sena Ayivi"/>
    <x v="4"/>
    <x v="4"/>
    <n v="79.63"/>
    <x v="12"/>
    <n v="15"/>
    <n v="1194.3800000000001"/>
    <x v="1"/>
    <x v="0"/>
    <x v="4"/>
    <s v="CHKFMC"/>
    <x v="10"/>
    <x v="2"/>
    <x v="0"/>
    <x v="0"/>
  </r>
  <r>
    <s v="T-100153"/>
    <d v="2024-02-25T00:00:00"/>
    <s v="kossi tete"/>
    <x v="3"/>
    <x v="2"/>
    <n v="165.91"/>
    <x v="10"/>
    <n v="13"/>
    <n v="2156.83"/>
    <x v="1"/>
    <x v="0"/>
    <x v="0"/>
    <s v="OKAGR"/>
    <x v="8"/>
    <x v="2"/>
    <x v="0"/>
    <x v="0"/>
  </r>
  <r>
    <s v="T-100154"/>
    <d v="2024-02-17T00:00:00"/>
    <s v="Yawa Amouzou"/>
    <x v="3"/>
    <x v="2"/>
    <n v="211.42"/>
    <x v="10"/>
    <n v="13"/>
    <n v="2748.45"/>
    <x v="1"/>
    <x v="0"/>
    <x v="4"/>
    <s v="CHKFMC"/>
    <x v="8"/>
    <x v="6"/>
    <x v="0"/>
    <x v="0"/>
  </r>
  <r>
    <s v="T-100155"/>
    <d v="2024-03-15T00:00:00"/>
    <s v="Yawa Lawson"/>
    <x v="4"/>
    <x v="1"/>
    <n v="11.56"/>
    <x v="18"/>
    <n v="95"/>
    <n v="1098.33"/>
    <x v="0"/>
    <x v="0"/>
    <x v="2"/>
    <s v="OKÉNE"/>
    <x v="6"/>
    <x v="4"/>
    <x v="0"/>
    <x v="0"/>
  </r>
  <r>
    <s v="T-100156"/>
    <d v="2024-03-21T00:00:00"/>
    <s v="Akofa Lawson"/>
    <x v="2"/>
    <x v="0"/>
    <n v="96.11"/>
    <x v="4"/>
    <n v="16"/>
    <n v="1537.73"/>
    <x v="0"/>
    <x v="0"/>
    <x v="4"/>
    <s v="CHKFMC"/>
    <x v="6"/>
    <x v="0"/>
    <x v="0"/>
    <x v="0"/>
  </r>
  <r>
    <s v="T-100157"/>
    <d v="2025-01-14T00:00:00"/>
    <s v="Kodjo Kpodo"/>
    <x v="0"/>
    <x v="1"/>
    <n v="1145.17"/>
    <x v="8"/>
    <n v="1"/>
    <n v="1145.17"/>
    <x v="2"/>
    <x v="1"/>
    <x v="4"/>
    <s v="OKFMC"/>
    <x v="3"/>
    <x v="1"/>
    <x v="0"/>
    <x v="1"/>
  </r>
  <r>
    <s v="T-100158"/>
    <d v="2024-11-16T00:00:00"/>
    <s v="Akofa Gbogbo"/>
    <x v="1"/>
    <x v="3"/>
    <n v="97.25"/>
    <x v="11"/>
    <n v="12"/>
    <n v="1167.06"/>
    <x v="1"/>
    <x v="0"/>
    <x v="0"/>
    <s v="OKAGR"/>
    <x v="11"/>
    <x v="6"/>
    <x v="0"/>
    <x v="0"/>
  </r>
  <r>
    <s v="T-100159"/>
    <d v="2024-06-03T00:00:00"/>
    <s v="Eyram Gbogbo"/>
    <x v="3"/>
    <x v="2"/>
    <n v="295.19"/>
    <x v="17"/>
    <n v="8"/>
    <n v="2361.52"/>
    <x v="0"/>
    <x v="1"/>
    <x v="4"/>
    <s v="OKFMC"/>
    <x v="10"/>
    <x v="3"/>
    <x v="0"/>
    <x v="0"/>
  </r>
  <r>
    <s v="T-100160"/>
    <d v="2025-08-10T00:00:00"/>
    <s v="Afi Kpodo"/>
    <x v="2"/>
    <x v="2"/>
    <n v="68.7"/>
    <x v="2"/>
    <n v="12"/>
    <n v="824.42"/>
    <x v="0"/>
    <x v="0"/>
    <x v="0"/>
    <s v="CHKAGR"/>
    <x v="4"/>
    <x v="2"/>
    <x v="0"/>
    <x v="1"/>
  </r>
  <r>
    <s v="T-100161"/>
    <d v="2024-10-19T00:00:00"/>
    <s v="Atsou Mensah"/>
    <x v="1"/>
    <x v="3"/>
    <n v="146"/>
    <x v="19"/>
    <n v="13"/>
    <n v="1897.96"/>
    <x v="0"/>
    <x v="0"/>
    <x v="3"/>
    <s v="REVTEL"/>
    <x v="0"/>
    <x v="6"/>
    <x v="0"/>
    <x v="0"/>
  </r>
  <r>
    <s v="T-100162"/>
    <d v="2025-06-18T00:00:00"/>
    <s v="Afi Agbo"/>
    <x v="3"/>
    <x v="3"/>
    <n v="102.86"/>
    <x v="15"/>
    <n v="16"/>
    <n v="1645.7"/>
    <x v="0"/>
    <x v="0"/>
    <x v="0"/>
    <s v="OKAGR"/>
    <x v="10"/>
    <x v="5"/>
    <x v="0"/>
    <x v="1"/>
  </r>
  <r>
    <s v="T-100163"/>
    <d v="2025-09-03T00:00:00"/>
    <s v="Elom Mensah"/>
    <x v="1"/>
    <x v="1"/>
    <n v="255.95"/>
    <x v="9"/>
    <n v="7"/>
    <n v="1791.64"/>
    <x v="2"/>
    <x v="1"/>
    <x v="1"/>
    <s v="CHKEDU"/>
    <x v="2"/>
    <x v="5"/>
    <x v="0"/>
    <x v="1"/>
  </r>
  <r>
    <s v="T-100164"/>
    <d v="2024-09-15T00:00:00"/>
    <s v="Akofa Tete"/>
    <x v="1"/>
    <x v="0"/>
    <n v="143.04"/>
    <x v="9"/>
    <n v="15"/>
    <n v="2145.5300000000002"/>
    <x v="0"/>
    <x v="0"/>
    <x v="1"/>
    <s v="OKEDU"/>
    <x v="2"/>
    <x v="2"/>
    <x v="0"/>
    <x v="0"/>
  </r>
  <r>
    <s v="T-100165"/>
    <d v="2024-01-11T00:00:00"/>
    <s v="Atsou Tete"/>
    <x v="2"/>
    <x v="3"/>
    <n v="312.29000000000002"/>
    <x v="7"/>
    <n v="9"/>
    <n v="2810.62"/>
    <x v="0"/>
    <x v="1"/>
    <x v="3"/>
    <s v="REVTEL"/>
    <x v="3"/>
    <x v="0"/>
    <x v="0"/>
    <x v="0"/>
  </r>
  <r>
    <s v="T-100166"/>
    <d v="2025-03-06T00:00:00"/>
    <s v="Akofa Ayivi"/>
    <x v="2"/>
    <x v="2"/>
    <n v="135.38999999999999"/>
    <x v="2"/>
    <n v="9"/>
    <n v="1218.54"/>
    <x v="0"/>
    <x v="1"/>
    <x v="2"/>
    <s v="OKÉNE"/>
    <x v="6"/>
    <x v="0"/>
    <x v="0"/>
    <x v="1"/>
  </r>
  <r>
    <s v="T-100167"/>
    <d v="2024-12-06T00:00:00"/>
    <s v="Atsou Lawson"/>
    <x v="1"/>
    <x v="4"/>
    <n v="156"/>
    <x v="9"/>
    <n v="15"/>
    <n v="2340"/>
    <x v="2"/>
    <x v="0"/>
    <x v="3"/>
    <s v="OKTEL"/>
    <x v="9"/>
    <x v="4"/>
    <x v="0"/>
    <x v="0"/>
  </r>
  <r>
    <s v="T-100168"/>
    <d v="2024-10-02T00:00:00"/>
    <s v="Kodjo Tete"/>
    <x v="0"/>
    <x v="2"/>
    <n v="174.41"/>
    <x v="0"/>
    <n v="8"/>
    <n v="1395.27"/>
    <x v="0"/>
    <x v="1"/>
    <x v="0"/>
    <s v="OKAGR"/>
    <x v="0"/>
    <x v="5"/>
    <x v="0"/>
    <x v="0"/>
  </r>
  <r>
    <s v="T-100169"/>
    <d v="2025-05-28T00:00:00"/>
    <s v="Atsou Hounkpati"/>
    <x v="4"/>
    <x v="3"/>
    <n v="94.6"/>
    <x v="6"/>
    <n v="7"/>
    <n v="662.2"/>
    <x v="0"/>
    <x v="1"/>
    <x v="2"/>
    <s v="OKÉNE"/>
    <x v="7"/>
    <x v="5"/>
    <x v="0"/>
    <x v="1"/>
  </r>
  <r>
    <s v="T-100170"/>
    <d v="2024-04-05T00:00:00"/>
    <s v="Kossi Tete"/>
    <x v="4"/>
    <x v="3"/>
    <n v="151.33000000000001"/>
    <x v="12"/>
    <n v="9"/>
    <n v="1362"/>
    <x v="2"/>
    <x v="1"/>
    <x v="4"/>
    <s v="CHKFMC"/>
    <x v="1"/>
    <x v="4"/>
    <x v="0"/>
    <x v="0"/>
  </r>
  <r>
    <s v="T-100171"/>
    <d v="2025-08-11T00:00:00"/>
    <s v="Mawuli Gbogbo"/>
    <x v="3"/>
    <x v="4"/>
    <n v="1352"/>
    <x v="20"/>
    <n v="10"/>
    <n v="13174.279999999999"/>
    <x v="0"/>
    <x v="0"/>
    <x v="4"/>
    <s v="OKFMC"/>
    <x v="4"/>
    <x v="3"/>
    <x v="1"/>
    <x v="1"/>
  </r>
  <r>
    <s v="T-100172"/>
    <d v="2025-02-20T00:00:00"/>
    <s v="Sena Amouzou"/>
    <x v="2"/>
    <x v="2"/>
    <n v="1571.8"/>
    <x v="4"/>
    <n v="1"/>
    <n v="1571.8"/>
    <x v="0"/>
    <x v="1"/>
    <x v="3"/>
    <s v="CHKTEL"/>
    <x v="8"/>
    <x v="0"/>
    <x v="0"/>
    <x v="1"/>
  </r>
  <r>
    <s v="T-100173"/>
    <d v="2024-02-10T00:00:00"/>
    <s v="Mawuli Kpodo"/>
    <x v="4"/>
    <x v="1"/>
    <n v="264.54000000000002"/>
    <x v="14"/>
    <n v="9"/>
    <n v="2380.86"/>
    <x v="0"/>
    <x v="1"/>
    <x v="0"/>
    <s v="OKAGR"/>
    <x v="8"/>
    <x v="6"/>
    <x v="0"/>
    <x v="0"/>
  </r>
  <r>
    <s v="T-100174"/>
    <d v="2024-10-14T00:00:00"/>
    <s v="Elom Gbogbo"/>
    <x v="4"/>
    <x v="3"/>
    <n v="297.27"/>
    <x v="12"/>
    <n v="11"/>
    <n v="3270"/>
    <x v="0"/>
    <x v="0"/>
    <x v="1"/>
    <s v="REVEDU"/>
    <x v="0"/>
    <x v="3"/>
    <x v="0"/>
    <x v="0"/>
  </r>
  <r>
    <s v="T-100175"/>
    <d v="2024-03-03T00:00:00"/>
    <s v="kossi kpodo"/>
    <x v="4"/>
    <x v="2"/>
    <n v="187.03"/>
    <x v="18"/>
    <n v="10"/>
    <n v="1870.33"/>
    <x v="2"/>
    <x v="1"/>
    <x v="3"/>
    <s v="CHKTEL"/>
    <x v="6"/>
    <x v="2"/>
    <x v="0"/>
    <x v="0"/>
  </r>
  <r>
    <s v="T-100176"/>
    <d v="2025-08-27T00:00:00"/>
    <s v="Atsou Kpodo"/>
    <x v="4"/>
    <x v="2"/>
    <n v="270.94"/>
    <x v="6"/>
    <n v="10"/>
    <n v="2709.42"/>
    <x v="0"/>
    <x v="1"/>
    <x v="4"/>
    <s v="CHKFMC"/>
    <x v="4"/>
    <x v="5"/>
    <x v="0"/>
    <x v="1"/>
  </r>
  <r>
    <s v="T-100177"/>
    <d v="2025-04-16T00:00:00"/>
    <s v="Yawa Amouzou"/>
    <x v="1"/>
    <x v="4"/>
    <n v="173.26"/>
    <x v="1"/>
    <n v="9"/>
    <n v="1559.34"/>
    <x v="0"/>
    <x v="1"/>
    <x v="4"/>
    <s v="CHKFMC"/>
    <x v="1"/>
    <x v="5"/>
    <x v="0"/>
    <x v="1"/>
  </r>
  <r>
    <s v="T-100178"/>
    <d v="2024-11-11T00:00:00"/>
    <s v="Kodjo Mensah"/>
    <x v="4"/>
    <x v="0"/>
    <n v="247.42"/>
    <x v="18"/>
    <n v="9"/>
    <n v="2226.7800000000002"/>
    <x v="2"/>
    <x v="1"/>
    <x v="1"/>
    <s v="OKEDU"/>
    <x v="11"/>
    <x v="3"/>
    <x v="0"/>
    <x v="0"/>
  </r>
  <r>
    <s v="T-100179"/>
    <d v="2025-05-31T00:00:00"/>
    <s v="​Akofa Mensah  "/>
    <x v="0"/>
    <x v="4"/>
    <n v="238.87"/>
    <x v="13"/>
    <n v="12"/>
    <n v="2866.49"/>
    <x v="0"/>
    <x v="0"/>
    <x v="2"/>
    <s v="CHKÉNE"/>
    <x v="7"/>
    <x v="6"/>
    <x v="0"/>
    <x v="1"/>
  </r>
  <r>
    <s v="T-100180"/>
    <d v="2025-06-09T00:00:00"/>
    <s v="Kodjo Mensah"/>
    <x v="4"/>
    <x v="0"/>
    <n v="166.05"/>
    <x v="18"/>
    <n v="11"/>
    <n v="1826.56"/>
    <x v="0"/>
    <x v="0"/>
    <x v="1"/>
    <s v="REVEDU"/>
    <x v="10"/>
    <x v="3"/>
    <x v="0"/>
    <x v="1"/>
  </r>
  <r>
    <s v="T-100181"/>
    <d v="2024-04-07T00:00:00"/>
    <s v="Kodjo Kpodo"/>
    <x v="3"/>
    <x v="2"/>
    <n v="79.2"/>
    <x v="17"/>
    <n v="12"/>
    <n v="950.34"/>
    <x v="2"/>
    <x v="0"/>
    <x v="0"/>
    <s v="REVAGR"/>
    <x v="1"/>
    <x v="2"/>
    <x v="0"/>
    <x v="0"/>
  </r>
  <r>
    <s v="T-100182"/>
    <d v="2024-02-02T00:00:00"/>
    <s v="Akofa Ayivi"/>
    <x v="1"/>
    <x v="2"/>
    <n v="7.65"/>
    <x v="11"/>
    <n v="104"/>
    <n v="795.94"/>
    <x v="0"/>
    <x v="0"/>
    <x v="0"/>
    <s v="REVAGR"/>
    <x v="8"/>
    <x v="4"/>
    <x v="0"/>
    <x v="0"/>
  </r>
  <r>
    <s v="T-100183"/>
    <d v="2024-01-27T00:00:00"/>
    <s v="Akofa Hounkpati"/>
    <x v="3"/>
    <x v="1"/>
    <n v="157.81"/>
    <x v="17"/>
    <n v="7"/>
    <n v="1104.67"/>
    <x v="0"/>
    <x v="1"/>
    <x v="0"/>
    <s v="REVAGR"/>
    <x v="3"/>
    <x v="6"/>
    <x v="0"/>
    <x v="0"/>
  </r>
  <r>
    <s v="T-100184"/>
    <d v="2024-10-14T00:00:00"/>
    <s v="Kossi Lawson"/>
    <x v="4"/>
    <x v="4"/>
    <n v="181.46"/>
    <x v="6"/>
    <n v="13"/>
    <n v="2359.0300000000002"/>
    <x v="0"/>
    <x v="0"/>
    <x v="0"/>
    <s v="OKAGR"/>
    <x v="0"/>
    <x v="3"/>
    <x v="0"/>
    <x v="0"/>
  </r>
  <r>
    <s v="T-100185"/>
    <d v="2025-02-12T00:00:00"/>
    <s v="Atsou Ayivi"/>
    <x v="3"/>
    <x v="4"/>
    <n v="167.59"/>
    <x v="3"/>
    <n v="8"/>
    <n v="1340.75"/>
    <x v="0"/>
    <x v="1"/>
    <x v="3"/>
    <s v="OKTEL"/>
    <x v="8"/>
    <x v="5"/>
    <x v="0"/>
    <x v="1"/>
  </r>
  <r>
    <s v="T-100186"/>
    <d v="2025-03-19T00:00:00"/>
    <s v="Sena Lawson"/>
    <x v="1"/>
    <x v="4"/>
    <n v="1667.83"/>
    <x v="19"/>
    <n v="1"/>
    <n v="1667.83"/>
    <x v="0"/>
    <x v="1"/>
    <x v="1"/>
    <s v="CHKEDU"/>
    <x v="6"/>
    <x v="5"/>
    <x v="0"/>
    <x v="1"/>
  </r>
  <r>
    <s v="T-100187"/>
    <d v="2024-09-04T00:00:00"/>
    <s v="Sena Ayivi"/>
    <x v="4"/>
    <x v="0"/>
    <n v="172.95"/>
    <x v="12"/>
    <n v="11"/>
    <n v="1902.4"/>
    <x v="0"/>
    <x v="0"/>
    <x v="0"/>
    <s v="OKAGR"/>
    <x v="2"/>
    <x v="5"/>
    <x v="0"/>
    <x v="0"/>
  </r>
  <r>
    <s v="T-100188"/>
    <d v="2024-03-08T00:00:00"/>
    <s v="Atsou Kpodo"/>
    <x v="4"/>
    <x v="2"/>
    <n v="227.85"/>
    <x v="6"/>
    <n v="15"/>
    <n v="3417.73"/>
    <x v="0"/>
    <x v="0"/>
    <x v="3"/>
    <s v="OKTEL"/>
    <x v="6"/>
    <x v="4"/>
    <x v="0"/>
    <x v="0"/>
  </r>
  <r>
    <s v="T-100189"/>
    <d v="2024-05-07T00:00:00"/>
    <s v="Mawuli Agbo"/>
    <x v="1"/>
    <x v="0"/>
    <n v="135.66"/>
    <x v="1"/>
    <n v="13"/>
    <n v="1763.59"/>
    <x v="2"/>
    <x v="0"/>
    <x v="1"/>
    <s v="CHKEDU"/>
    <x v="7"/>
    <x v="1"/>
    <x v="0"/>
    <x v="0"/>
  </r>
  <r>
    <s v="T-100190"/>
    <d v="2025-06-22T00:00:00"/>
    <s v="Kossi Kpodo"/>
    <x v="0"/>
    <x v="1"/>
    <n v="138.28"/>
    <x v="8"/>
    <n v="8"/>
    <n v="1106.24"/>
    <x v="0"/>
    <x v="1"/>
    <x v="2"/>
    <s v="CHKÉNE"/>
    <x v="10"/>
    <x v="2"/>
    <x v="0"/>
    <x v="1"/>
  </r>
  <r>
    <s v="T-100191"/>
    <d v="2024-05-07T00:00:00"/>
    <s v="Eyram Hounkpati"/>
    <x v="3"/>
    <x v="1"/>
    <n v="85.02"/>
    <x v="10"/>
    <n v="14"/>
    <n v="1190.3399999999999"/>
    <x v="0"/>
    <x v="0"/>
    <x v="3"/>
    <s v="CHKTEL"/>
    <x v="7"/>
    <x v="1"/>
    <x v="0"/>
    <x v="0"/>
  </r>
  <r>
    <s v="T-100192"/>
    <d v="2024-11-07T00:00:00"/>
    <s v="Sena Kpodo"/>
    <x v="4"/>
    <x v="3"/>
    <n v="15.61"/>
    <x v="18"/>
    <n v="69"/>
    <n v="1077.1300000000001"/>
    <x v="0"/>
    <x v="0"/>
    <x v="1"/>
    <s v="OKEDU"/>
    <x v="11"/>
    <x v="0"/>
    <x v="0"/>
    <x v="0"/>
  </r>
  <r>
    <s v="T-100193"/>
    <d v="2024-05-05T00:00:00"/>
    <s v="Atsou Lawson"/>
    <x v="0"/>
    <x v="0"/>
    <n v="143.69999999999999"/>
    <x v="5"/>
    <n v="10"/>
    <n v="1437"/>
    <x v="0"/>
    <x v="1"/>
    <x v="3"/>
    <s v="OKTEL"/>
    <x v="7"/>
    <x v="2"/>
    <x v="0"/>
    <x v="0"/>
  </r>
  <r>
    <s v="T-100194"/>
    <d v="2025-04-13T00:00:00"/>
    <s v="Kossi Kpodo"/>
    <x v="0"/>
    <x v="2"/>
    <n v="1839.56"/>
    <x v="5"/>
    <n v="1"/>
    <n v="1839.56"/>
    <x v="0"/>
    <x v="1"/>
    <x v="1"/>
    <s v="OKEDU"/>
    <x v="1"/>
    <x v="2"/>
    <x v="0"/>
    <x v="1"/>
  </r>
  <r>
    <s v="T-100195"/>
    <d v="2024-09-24T00:00:00"/>
    <s v="Mawuli Agbo"/>
    <x v="4"/>
    <x v="1"/>
    <n v="22.41"/>
    <x v="18"/>
    <n v="112"/>
    <n v="2510.34"/>
    <x v="0"/>
    <x v="0"/>
    <x v="4"/>
    <s v="CHKFMC"/>
    <x v="2"/>
    <x v="1"/>
    <x v="0"/>
    <x v="0"/>
  </r>
  <r>
    <s v="T-100196"/>
    <d v="2025-02-14T00:00:00"/>
    <s v="Afi Agbo"/>
    <x v="2"/>
    <x v="3"/>
    <n v="400"/>
    <x v="2"/>
    <n v="9"/>
    <n v="3600"/>
    <x v="0"/>
    <x v="0"/>
    <x v="3"/>
    <s v="REVTEL"/>
    <x v="8"/>
    <x v="4"/>
    <x v="0"/>
    <x v="1"/>
  </r>
  <r>
    <s v="T-100197"/>
    <d v="2025-05-22T00:00:00"/>
    <s v="Akofa Kossi"/>
    <x v="2"/>
    <x v="0"/>
    <n v="187.91"/>
    <x v="2"/>
    <n v="13"/>
    <n v="2442.83"/>
    <x v="2"/>
    <x v="0"/>
    <x v="2"/>
    <s v="REVÉNE"/>
    <x v="7"/>
    <x v="0"/>
    <x v="0"/>
    <x v="1"/>
  </r>
  <r>
    <s v="T-100198"/>
    <d v="2025-09-16T00:00:00"/>
    <s v="Atsou Gbogbo"/>
    <x v="2"/>
    <x v="4"/>
    <n v="287.5"/>
    <x v="4"/>
    <n v="6"/>
    <n v="1725"/>
    <x v="0"/>
    <x v="1"/>
    <x v="0"/>
    <s v="REVAGR"/>
    <x v="2"/>
    <x v="1"/>
    <x v="0"/>
    <x v="1"/>
  </r>
  <r>
    <s v="T-100199"/>
    <d v="2024-01-13T00:00:00"/>
    <s v="Sena Gbogbo"/>
    <x v="4"/>
    <x v="0"/>
    <n v="170.74"/>
    <x v="18"/>
    <n v="7"/>
    <n v="1195.1500000000001"/>
    <x v="0"/>
    <x v="1"/>
    <x v="4"/>
    <s v="OKFMC"/>
    <x v="3"/>
    <x v="6"/>
    <x v="0"/>
    <x v="0"/>
  </r>
  <r>
    <s v="T-100200"/>
    <d v="2025-08-14T00:00:00"/>
    <s v="Elom Amouzou"/>
    <x v="2"/>
    <x v="2"/>
    <n v="381.76"/>
    <x v="2"/>
    <n v="11"/>
    <n v="4199.38"/>
    <x v="1"/>
    <x v="0"/>
    <x v="1"/>
    <s v="CHKEDU"/>
    <x v="4"/>
    <x v="0"/>
    <x v="1"/>
    <x v="1"/>
  </r>
  <r>
    <s v="T-100201"/>
    <d v="2025-02-03T00:00:00"/>
    <s v="Akofa Hounkpati"/>
    <x v="1"/>
    <x v="4"/>
    <n v="254.75"/>
    <x v="9"/>
    <n v="8"/>
    <n v="2038"/>
    <x v="0"/>
    <x v="1"/>
    <x v="0"/>
    <s v="REVAGR"/>
    <x v="8"/>
    <x v="3"/>
    <x v="0"/>
    <x v="1"/>
  </r>
  <r>
    <s v="T-100202"/>
    <d v="2025-05-02T00:00:00"/>
    <s v="Atsou Gbogbo"/>
    <x v="0"/>
    <x v="0"/>
    <n v="195.38"/>
    <x v="8"/>
    <n v="7"/>
    <n v="1367.67"/>
    <x v="0"/>
    <x v="1"/>
    <x v="1"/>
    <s v="OKEDU"/>
    <x v="7"/>
    <x v="4"/>
    <x v="0"/>
    <x v="1"/>
  </r>
  <r>
    <s v="T-100203"/>
    <d v="2024-10-09T00:00:00"/>
    <s v="Sena Kpodo"/>
    <x v="1"/>
    <x v="0"/>
    <n v="109.85"/>
    <x v="11"/>
    <n v="17"/>
    <n v="1867.53"/>
    <x v="2"/>
    <x v="0"/>
    <x v="3"/>
    <s v="CHKTEL"/>
    <x v="0"/>
    <x v="5"/>
    <x v="0"/>
    <x v="0"/>
  </r>
  <r>
    <s v="T-100204"/>
    <d v="2025-09-07T00:00:00"/>
    <s v="Afi Tete"/>
    <x v="4"/>
    <x v="2"/>
    <n v="87.45"/>
    <x v="14"/>
    <n v="12"/>
    <n v="1049.3599999999999"/>
    <x v="1"/>
    <x v="0"/>
    <x v="1"/>
    <s v="OKEDU"/>
    <x v="2"/>
    <x v="2"/>
    <x v="0"/>
    <x v="1"/>
  </r>
  <r>
    <s v="T-100205"/>
    <d v="2024-05-17T00:00:00"/>
    <s v="yawa mensah"/>
    <x v="3"/>
    <x v="2"/>
    <n v="278.43"/>
    <x v="10"/>
    <n v="7"/>
    <n v="1949"/>
    <x v="0"/>
    <x v="1"/>
    <x v="2"/>
    <s v="CHKÉNE"/>
    <x v="7"/>
    <x v="4"/>
    <x v="0"/>
    <x v="0"/>
  </r>
  <r>
    <s v="T-100206"/>
    <d v="2025-06-08T00:00:00"/>
    <s v="Kodjo Tete"/>
    <x v="0"/>
    <x v="0"/>
    <n v="78.45"/>
    <x v="8"/>
    <n v="11"/>
    <n v="863"/>
    <x v="0"/>
    <x v="0"/>
    <x v="3"/>
    <s v="OKTEL"/>
    <x v="10"/>
    <x v="2"/>
    <x v="0"/>
    <x v="1"/>
  </r>
  <r>
    <s v="T-100207"/>
    <d v="2024-05-26T00:00:00"/>
    <s v="Atsou Hounkpati"/>
    <x v="0"/>
    <x v="0"/>
    <n v="297.05"/>
    <x v="8"/>
    <n v="12"/>
    <n v="3564.58"/>
    <x v="2"/>
    <x v="0"/>
    <x v="3"/>
    <s v="CHKTEL"/>
    <x v="7"/>
    <x v="2"/>
    <x v="0"/>
    <x v="0"/>
  </r>
  <r>
    <s v="T-100208"/>
    <d v="2024-02-08T00:00:00"/>
    <s v="Atsou Ayivi"/>
    <x v="0"/>
    <x v="1"/>
    <n v="67.17"/>
    <x v="8"/>
    <n v="16"/>
    <n v="1074.69"/>
    <x v="1"/>
    <x v="0"/>
    <x v="0"/>
    <s v="REVAGR"/>
    <x v="8"/>
    <x v="0"/>
    <x v="0"/>
    <x v="0"/>
  </r>
  <r>
    <s v="T-100209"/>
    <d v="2025-05-20T00:00:00"/>
    <s v="Kossi Mensah"/>
    <x v="3"/>
    <x v="3"/>
    <n v="92.23"/>
    <x v="17"/>
    <n v="16"/>
    <n v="1475.7"/>
    <x v="2"/>
    <x v="0"/>
    <x v="4"/>
    <s v="OKFMC"/>
    <x v="7"/>
    <x v="1"/>
    <x v="0"/>
    <x v="1"/>
  </r>
  <r>
    <s v="T-100210"/>
    <d v="2024-12-23T00:00:00"/>
    <s v="Afi Amouzou"/>
    <x v="4"/>
    <x v="4"/>
    <n v="272.73"/>
    <x v="12"/>
    <n v="7"/>
    <n v="1909.12"/>
    <x v="1"/>
    <x v="1"/>
    <x v="2"/>
    <s v="OKÉNE"/>
    <x v="9"/>
    <x v="3"/>
    <x v="0"/>
    <x v="0"/>
  </r>
  <r>
    <s v="T-100211"/>
    <d v="2025-01-23T00:00:00"/>
    <s v="​Eyram Mensah  "/>
    <x v="0"/>
    <x v="3"/>
    <n v="163.41999999999999"/>
    <x v="5"/>
    <n v="12"/>
    <n v="1961.09"/>
    <x v="1"/>
    <x v="0"/>
    <x v="1"/>
    <s v="OKEDU"/>
    <x v="3"/>
    <x v="0"/>
    <x v="0"/>
    <x v="1"/>
  </r>
  <r>
    <s v="T-100212"/>
    <d v="2025-08-27T00:00:00"/>
    <s v="Afi Agbo"/>
    <x v="3"/>
    <x v="2"/>
    <n v="351.3"/>
    <x v="17"/>
    <n v="11"/>
    <n v="3864.25"/>
    <x v="2"/>
    <x v="0"/>
    <x v="3"/>
    <s v="REVTEL"/>
    <x v="4"/>
    <x v="5"/>
    <x v="0"/>
    <x v="1"/>
  </r>
  <r>
    <s v="T-100213"/>
    <d v="2025-02-06T00:00:00"/>
    <s v="Kodjo Gbogbo"/>
    <x v="3"/>
    <x v="3"/>
    <n v="195.71"/>
    <x v="15"/>
    <n v="12"/>
    <n v="13174.279999999999"/>
    <x v="0"/>
    <x v="0"/>
    <x v="1"/>
    <s v="CHKEDU"/>
    <x v="8"/>
    <x v="0"/>
    <x v="1"/>
    <x v="1"/>
  </r>
  <r>
    <s v="T-100214"/>
    <d v="2024-08-11T00:00:00"/>
    <s v="Elom Hounkpati"/>
    <x v="0"/>
    <x v="0"/>
    <n v="134.03"/>
    <x v="13"/>
    <n v="17"/>
    <n v="2278.59"/>
    <x v="0"/>
    <x v="0"/>
    <x v="2"/>
    <s v="CHKÉNE"/>
    <x v="4"/>
    <x v="2"/>
    <x v="0"/>
    <x v="0"/>
  </r>
  <r>
    <s v="T-100215"/>
    <d v="2025-10-07T00:00:00"/>
    <s v="Atsou Lawson"/>
    <x v="2"/>
    <x v="0"/>
    <n v="169.3"/>
    <x v="7"/>
    <n v="13"/>
    <n v="2200.85"/>
    <x v="1"/>
    <x v="0"/>
    <x v="4"/>
    <s v="OKFMC"/>
    <x v="0"/>
    <x v="1"/>
    <x v="0"/>
    <x v="1"/>
  </r>
  <r>
    <s v="T-100216"/>
    <d v="2025-01-08T00:00:00"/>
    <s v="Eyram Tete"/>
    <x v="0"/>
    <x v="0"/>
    <n v="285.95999999999998"/>
    <x v="5"/>
    <n v="12"/>
    <n v="3431.55"/>
    <x v="0"/>
    <x v="0"/>
    <x v="4"/>
    <s v="REVFMC"/>
    <x v="3"/>
    <x v="5"/>
    <x v="0"/>
    <x v="1"/>
  </r>
  <r>
    <s v="T-100217"/>
    <d v="2025-08-16T00:00:00"/>
    <s v="elom hounkpati"/>
    <x v="3"/>
    <x v="3"/>
    <n v="193.5"/>
    <x v="10"/>
    <n v="14"/>
    <n v="2708.95"/>
    <x v="1"/>
    <x v="0"/>
    <x v="2"/>
    <s v="OKÉNE"/>
    <x v="4"/>
    <x v="6"/>
    <x v="0"/>
    <x v="1"/>
  </r>
  <r>
    <s v="T-100218"/>
    <d v="2024-09-10T00:00:00"/>
    <s v="Eyram Amouzou"/>
    <x v="4"/>
    <x v="3"/>
    <n v="468.82"/>
    <x v="12"/>
    <n v="5"/>
    <n v="2344.11"/>
    <x v="0"/>
    <x v="1"/>
    <x v="3"/>
    <s v="CHKTEL"/>
    <x v="2"/>
    <x v="1"/>
    <x v="0"/>
    <x v="0"/>
  </r>
  <r>
    <s v="T-100219"/>
    <d v="2025-10-30T00:00:00"/>
    <s v="Kodjo Agbo"/>
    <x v="1"/>
    <x v="4"/>
    <n v="165.72"/>
    <x v="1"/>
    <n v="13"/>
    <n v="2154.3000000000002"/>
    <x v="0"/>
    <x v="0"/>
    <x v="1"/>
    <s v="REVEDU"/>
    <x v="0"/>
    <x v="0"/>
    <x v="0"/>
    <x v="1"/>
  </r>
  <r>
    <s v="T-100220"/>
    <d v="2025-10-28T00:00:00"/>
    <s v="Yawa Kpodo"/>
    <x v="2"/>
    <x v="3"/>
    <n v="134.15"/>
    <x v="4"/>
    <n v="12"/>
    <n v="1609.77"/>
    <x v="0"/>
    <x v="0"/>
    <x v="2"/>
    <s v="OKÉNE"/>
    <x v="0"/>
    <x v="1"/>
    <x v="0"/>
    <x v="1"/>
  </r>
  <r>
    <s v="T-100221"/>
    <d v="2025-10-19T00:00:00"/>
    <s v="Elom Amouzou"/>
    <x v="2"/>
    <x v="3"/>
    <n v="92.85"/>
    <x v="4"/>
    <n v="18"/>
    <n v="1671.32"/>
    <x v="0"/>
    <x v="0"/>
    <x v="0"/>
    <s v="OKAGR"/>
    <x v="0"/>
    <x v="2"/>
    <x v="0"/>
    <x v="1"/>
  </r>
  <r>
    <s v="T-100222"/>
    <d v="2025-07-05T00:00:00"/>
    <s v="Elom Kossi"/>
    <x v="1"/>
    <x v="4"/>
    <n v="575.13"/>
    <x v="1"/>
    <n v="7"/>
    <n v="4025.92"/>
    <x v="0"/>
    <x v="0"/>
    <x v="0"/>
    <s v="OKAGR"/>
    <x v="5"/>
    <x v="6"/>
    <x v="0"/>
    <x v="1"/>
  </r>
  <r>
    <s v="T-100223"/>
    <d v="2024-04-06T00:00:00"/>
    <s v="elom mensah"/>
    <x v="4"/>
    <x v="3"/>
    <n v="106.75"/>
    <x v="12"/>
    <n v="12"/>
    <n v="1281"/>
    <x v="2"/>
    <x v="0"/>
    <x v="0"/>
    <s v="CHKAGR"/>
    <x v="1"/>
    <x v="6"/>
    <x v="0"/>
    <x v="0"/>
  </r>
  <r>
    <s v="T-100224"/>
    <d v="2024-12-24T00:00:00"/>
    <s v="Kodjo Kpodo"/>
    <x v="1"/>
    <x v="4"/>
    <n v="259.43"/>
    <x v="9"/>
    <n v="5"/>
    <n v="1297.1300000000001"/>
    <x v="0"/>
    <x v="1"/>
    <x v="2"/>
    <s v="REVÉNE"/>
    <x v="9"/>
    <x v="1"/>
    <x v="0"/>
    <x v="0"/>
  </r>
  <r>
    <s v="T-100225"/>
    <d v="2024-12-05T00:00:00"/>
    <s v="Kossi Kpodo"/>
    <x v="1"/>
    <x v="4"/>
    <n v="164.92"/>
    <x v="11"/>
    <n v="12"/>
    <n v="1979"/>
    <x v="0"/>
    <x v="0"/>
    <x v="1"/>
    <s v="OKEDU"/>
    <x v="9"/>
    <x v="0"/>
    <x v="0"/>
    <x v="0"/>
  </r>
  <r>
    <s v="T-100226"/>
    <d v="2024-03-12T00:00:00"/>
    <s v="Elom Kossi"/>
    <x v="1"/>
    <x v="1"/>
    <n v="192.62"/>
    <x v="9"/>
    <n v="9"/>
    <n v="1733.57"/>
    <x v="2"/>
    <x v="1"/>
    <x v="1"/>
    <s v="REVEDU"/>
    <x v="6"/>
    <x v="1"/>
    <x v="0"/>
    <x v="0"/>
  </r>
  <r>
    <s v="T-100227"/>
    <d v="2025-08-15T00:00:00"/>
    <s v="​Mawuli Ayivi  "/>
    <x v="3"/>
    <x v="0"/>
    <n v="102.15"/>
    <x v="17"/>
    <n v="10"/>
    <n v="13174.279999999999"/>
    <x v="2"/>
    <x v="0"/>
    <x v="2"/>
    <s v="REVÉNE"/>
    <x v="4"/>
    <x v="4"/>
    <x v="1"/>
    <x v="1"/>
  </r>
  <r>
    <s v="T-100228"/>
    <d v="2025-02-08T00:00:00"/>
    <s v="Atsou Mensah"/>
    <x v="2"/>
    <x v="1"/>
    <n v="51.07"/>
    <x v="16"/>
    <n v="14"/>
    <n v="715"/>
    <x v="0"/>
    <x v="0"/>
    <x v="1"/>
    <s v="REVEDU"/>
    <x v="8"/>
    <x v="6"/>
    <x v="0"/>
    <x v="1"/>
  </r>
  <r>
    <s v="T-100229"/>
    <d v="2024-06-07T00:00:00"/>
    <s v="Atsou Kossi"/>
    <x v="2"/>
    <x v="3"/>
    <n v="700.18"/>
    <x v="2"/>
    <n v="6"/>
    <n v="4201.05"/>
    <x v="1"/>
    <x v="0"/>
    <x v="1"/>
    <s v="CHKEDU"/>
    <x v="10"/>
    <x v="4"/>
    <x v="1"/>
    <x v="0"/>
  </r>
  <r>
    <s v="T-100230"/>
    <d v="2025-01-17T00:00:00"/>
    <s v="Yawa Kpodo"/>
    <x v="4"/>
    <x v="3"/>
    <n v="40.46"/>
    <x v="14"/>
    <n v="73"/>
    <n v="2953.83"/>
    <x v="0"/>
    <x v="0"/>
    <x v="0"/>
    <s v="OKAGR"/>
    <x v="3"/>
    <x v="4"/>
    <x v="0"/>
    <x v="1"/>
  </r>
  <r>
    <s v="T-100231"/>
    <d v="2024-01-15T00:00:00"/>
    <s v="Afi Hounkpati"/>
    <x v="3"/>
    <x v="0"/>
    <n v="1276.5999999999999"/>
    <x v="15"/>
    <n v="1"/>
    <n v="1276.5999999999999"/>
    <x v="0"/>
    <x v="1"/>
    <x v="2"/>
    <s v="CHKÉNE"/>
    <x v="3"/>
    <x v="3"/>
    <x v="0"/>
    <x v="0"/>
  </r>
  <r>
    <s v="T-100232"/>
    <d v="2024-04-02T00:00:00"/>
    <s v="Yawa Lawson"/>
    <x v="3"/>
    <x v="2"/>
    <n v="161.05000000000001"/>
    <x v="3"/>
    <n v="12"/>
    <n v="1932.59"/>
    <x v="2"/>
    <x v="0"/>
    <x v="4"/>
    <s v="REVFMC"/>
    <x v="1"/>
    <x v="1"/>
    <x v="0"/>
    <x v="0"/>
  </r>
  <r>
    <s v="T-100233"/>
    <d v="2024-06-21T00:00:00"/>
    <s v="Client Unknown"/>
    <x v="1"/>
    <x v="4"/>
    <n v="99.55"/>
    <x v="11"/>
    <n v="11"/>
    <n v="1095"/>
    <x v="0"/>
    <x v="0"/>
    <x v="2"/>
    <s v="CHKÉNE"/>
    <x v="10"/>
    <x v="4"/>
    <x v="0"/>
    <x v="0"/>
  </r>
  <r>
    <s v="T-100234"/>
    <d v="2025-05-29T00:00:00"/>
    <s v="Sena Mensah"/>
    <x v="0"/>
    <x v="1"/>
    <n v="276.67"/>
    <x v="0"/>
    <n v="8"/>
    <n v="2213.36"/>
    <x v="0"/>
    <x v="1"/>
    <x v="4"/>
    <s v="OKFMC"/>
    <x v="7"/>
    <x v="0"/>
    <x v="0"/>
    <x v="1"/>
  </r>
  <r>
    <s v="T-100235"/>
    <d v="2025-10-28T00:00:00"/>
    <s v="Afi Kossi"/>
    <x v="3"/>
    <x v="3"/>
    <n v="83.71"/>
    <x v="3"/>
    <n v="15"/>
    <n v="1255.6500000000001"/>
    <x v="0"/>
    <x v="0"/>
    <x v="0"/>
    <s v="REVAGR"/>
    <x v="0"/>
    <x v="1"/>
    <x v="0"/>
    <x v="1"/>
  </r>
  <r>
    <s v="T-100236"/>
    <d v="2025-02-11T00:00:00"/>
    <s v="Eyram Agbo"/>
    <x v="4"/>
    <x v="3"/>
    <n v="87.76"/>
    <x v="6"/>
    <n v="15"/>
    <n v="1316.37"/>
    <x v="0"/>
    <x v="0"/>
    <x v="2"/>
    <s v="OKÉNE"/>
    <x v="8"/>
    <x v="1"/>
    <x v="0"/>
    <x v="1"/>
  </r>
  <r>
    <s v="T-100237"/>
    <d v="2025-01-21T00:00:00"/>
    <s v="Kossi Kpodo"/>
    <x v="4"/>
    <x v="1"/>
    <n v="35.17"/>
    <x v="6"/>
    <n v="12"/>
    <n v="422"/>
    <x v="0"/>
    <x v="0"/>
    <x v="0"/>
    <s v="CHKAGR"/>
    <x v="3"/>
    <x v="1"/>
    <x v="0"/>
    <x v="1"/>
  </r>
  <r>
    <s v="T-100238"/>
    <d v="2025-06-26T00:00:00"/>
    <s v="Kodjo Hounkpati"/>
    <x v="0"/>
    <x v="4"/>
    <n v="151.94999999999999"/>
    <x v="8"/>
    <n v="11"/>
    <n v="1671.42"/>
    <x v="0"/>
    <x v="0"/>
    <x v="0"/>
    <s v="OKAGR"/>
    <x v="10"/>
    <x v="0"/>
    <x v="0"/>
    <x v="1"/>
  </r>
  <r>
    <s v="T-100239"/>
    <d v="2025-05-14T00:00:00"/>
    <s v="Eyram Kpodo"/>
    <x v="4"/>
    <x v="2"/>
    <n v="83.37"/>
    <x v="14"/>
    <n v="10"/>
    <n v="833.74"/>
    <x v="0"/>
    <x v="1"/>
    <x v="4"/>
    <s v="OKFMC"/>
    <x v="7"/>
    <x v="5"/>
    <x v="0"/>
    <x v="1"/>
  </r>
  <r>
    <s v="T-100240"/>
    <d v="2024-11-13T00:00:00"/>
    <s v="Atsou Amouzou"/>
    <x v="0"/>
    <x v="4"/>
    <n v="242.37"/>
    <x v="0"/>
    <n v="12"/>
    <n v="2908.45"/>
    <x v="2"/>
    <x v="0"/>
    <x v="3"/>
    <s v="CHKTEL"/>
    <x v="11"/>
    <x v="5"/>
    <x v="0"/>
    <x v="0"/>
  </r>
  <r>
    <s v="T-100241"/>
    <d v="2024-05-21T00:00:00"/>
    <s v="Elom Gbogbo"/>
    <x v="3"/>
    <x v="3"/>
    <n v="66.41"/>
    <x v="10"/>
    <n v="12"/>
    <n v="796.91"/>
    <x v="2"/>
    <x v="0"/>
    <x v="3"/>
    <s v="OKTEL"/>
    <x v="7"/>
    <x v="1"/>
    <x v="0"/>
    <x v="0"/>
  </r>
  <r>
    <s v="T-100242"/>
    <d v="2025-03-18T00:00:00"/>
    <s v="Client Unknown"/>
    <x v="3"/>
    <x v="0"/>
    <n v="180.98"/>
    <x v="15"/>
    <n v="14"/>
    <n v="2533.7199999999998"/>
    <x v="0"/>
    <x v="0"/>
    <x v="3"/>
    <s v="OKTEL"/>
    <x v="6"/>
    <x v="1"/>
    <x v="0"/>
    <x v="1"/>
  </r>
  <r>
    <s v="T-100243"/>
    <d v="2025-05-05T00:00:00"/>
    <s v="Elom Mensah"/>
    <x v="3"/>
    <x v="3"/>
    <n v="65.63"/>
    <x v="10"/>
    <n v="16"/>
    <n v="1050.08"/>
    <x v="0"/>
    <x v="0"/>
    <x v="1"/>
    <s v="OKEDU"/>
    <x v="7"/>
    <x v="3"/>
    <x v="0"/>
    <x v="1"/>
  </r>
  <r>
    <s v="T-100244"/>
    <d v="2024-10-16T00:00:00"/>
    <s v="Afi Kpodo"/>
    <x v="0"/>
    <x v="4"/>
    <n v="151.01"/>
    <x v="13"/>
    <n v="11"/>
    <n v="1661.12"/>
    <x v="1"/>
    <x v="0"/>
    <x v="1"/>
    <s v="CHKEDU"/>
    <x v="0"/>
    <x v="5"/>
    <x v="0"/>
    <x v="0"/>
  </r>
  <r>
    <s v="T-100245"/>
    <d v="2025-02-28T00:00:00"/>
    <s v="Kodjo Hounkpati"/>
    <x v="2"/>
    <x v="2"/>
    <n v="111.85"/>
    <x v="4"/>
    <n v="12"/>
    <n v="1342.2"/>
    <x v="1"/>
    <x v="0"/>
    <x v="2"/>
    <s v="OKÉNE"/>
    <x v="8"/>
    <x v="4"/>
    <x v="0"/>
    <x v="1"/>
  </r>
  <r>
    <s v="T-100246"/>
    <d v="2024-08-18T00:00:00"/>
    <s v="Atsou Agbo"/>
    <x v="1"/>
    <x v="4"/>
    <n v="88.65"/>
    <x v="9"/>
    <n v="18"/>
    <n v="1595.67"/>
    <x v="0"/>
    <x v="0"/>
    <x v="3"/>
    <s v="OKTEL"/>
    <x v="4"/>
    <x v="2"/>
    <x v="0"/>
    <x v="0"/>
  </r>
  <r>
    <s v="T-100247"/>
    <d v="2024-04-22T00:00:00"/>
    <s v="Sena Kossi"/>
    <x v="0"/>
    <x v="0"/>
    <n v="62.89"/>
    <x v="8"/>
    <n v="14"/>
    <n v="880.48"/>
    <x v="2"/>
    <x v="0"/>
    <x v="3"/>
    <s v="REVTEL"/>
    <x v="1"/>
    <x v="3"/>
    <x v="0"/>
    <x v="0"/>
  </r>
  <r>
    <s v="T-100248"/>
    <d v="2025-01-13T00:00:00"/>
    <s v="Atsou Agbo"/>
    <x v="2"/>
    <x v="1"/>
    <n v="227.32"/>
    <x v="16"/>
    <n v="7"/>
    <n v="1591.22"/>
    <x v="0"/>
    <x v="1"/>
    <x v="0"/>
    <s v="CHKAGR"/>
    <x v="3"/>
    <x v="3"/>
    <x v="0"/>
    <x v="1"/>
  </r>
  <r>
    <s v="T-100249"/>
    <d v="2024-06-24T00:00:00"/>
    <s v="Akofa Kpodo"/>
    <x v="3"/>
    <x v="3"/>
    <n v="92.58"/>
    <x v="17"/>
    <n v="15"/>
    <n v="1388.67"/>
    <x v="0"/>
    <x v="0"/>
    <x v="0"/>
    <s v="OKAGR"/>
    <x v="10"/>
    <x v="3"/>
    <x v="0"/>
    <x v="0"/>
  </r>
  <r>
    <s v="T-100250"/>
    <d v="2024-03-30T00:00:00"/>
    <s v="Afi Gbogbo"/>
    <x v="1"/>
    <x v="2"/>
    <n v="125.77"/>
    <x v="1"/>
    <n v="15"/>
    <n v="1886.54"/>
    <x v="2"/>
    <x v="0"/>
    <x v="3"/>
    <s v="OKTEL"/>
    <x v="6"/>
    <x v="6"/>
    <x v="0"/>
    <x v="0"/>
  </r>
  <r>
    <s v="T-100251"/>
    <d v="2024-04-19T00:00:00"/>
    <s v="​Akofa Tete  "/>
    <x v="4"/>
    <x v="2"/>
    <n v="818.56"/>
    <x v="6"/>
    <n v="5"/>
    <n v="4092.81"/>
    <x v="0"/>
    <x v="0"/>
    <x v="1"/>
    <s v="CHKEDU"/>
    <x v="1"/>
    <x v="4"/>
    <x v="1"/>
    <x v="0"/>
  </r>
  <r>
    <s v="T-100252"/>
    <d v="2024-08-28T00:00:00"/>
    <s v="Mawuli Amouzou"/>
    <x v="4"/>
    <x v="4"/>
    <n v="208.57"/>
    <x v="14"/>
    <n v="9"/>
    <n v="1877.16"/>
    <x v="2"/>
    <x v="1"/>
    <x v="1"/>
    <s v="CHKEDU"/>
    <x v="4"/>
    <x v="5"/>
    <x v="0"/>
    <x v="0"/>
  </r>
  <r>
    <s v="T-100253"/>
    <d v="2024-09-17T00:00:00"/>
    <s v="​Elom Gbogbo  "/>
    <x v="0"/>
    <x v="0"/>
    <n v="202.38"/>
    <x v="13"/>
    <n v="12"/>
    <n v="2428.5700000000002"/>
    <x v="1"/>
    <x v="0"/>
    <x v="2"/>
    <s v="OKÉNE"/>
    <x v="2"/>
    <x v="1"/>
    <x v="0"/>
    <x v="0"/>
  </r>
  <r>
    <s v="T-100254"/>
    <d v="2024-08-01T00:00:00"/>
    <s v="Akofa Kpodo"/>
    <x v="3"/>
    <x v="0"/>
    <n v="281.45999999999998"/>
    <x v="20"/>
    <n v="12"/>
    <n v="3377.47"/>
    <x v="2"/>
    <x v="0"/>
    <x v="0"/>
    <s v="REVAGR"/>
    <x v="4"/>
    <x v="0"/>
    <x v="0"/>
    <x v="0"/>
  </r>
  <r>
    <s v="T-100255"/>
    <d v="2025-09-28T00:00:00"/>
    <s v="Sena Tete"/>
    <x v="2"/>
    <x v="0"/>
    <n v="287.63"/>
    <x v="7"/>
    <n v="14"/>
    <n v="4026.87"/>
    <x v="2"/>
    <x v="0"/>
    <x v="0"/>
    <s v="OKAGR"/>
    <x v="2"/>
    <x v="2"/>
    <x v="0"/>
    <x v="1"/>
  </r>
  <r>
    <s v="T-100256"/>
    <d v="2024-08-31T00:00:00"/>
    <s v="Atsou Hounkpati"/>
    <x v="3"/>
    <x v="2"/>
    <n v="126.41"/>
    <x v="3"/>
    <n v="13"/>
    <n v="1643.29"/>
    <x v="0"/>
    <x v="0"/>
    <x v="1"/>
    <s v="OKEDU"/>
    <x v="4"/>
    <x v="6"/>
    <x v="0"/>
    <x v="0"/>
  </r>
  <r>
    <s v="T-100257"/>
    <d v="2024-05-03T00:00:00"/>
    <s v="Afi Agbo"/>
    <x v="3"/>
    <x v="4"/>
    <n v="430.62"/>
    <x v="15"/>
    <n v="10"/>
    <n v="166.2715"/>
    <x v="0"/>
    <x v="1"/>
    <x v="1"/>
    <s v="REVEDU"/>
    <x v="7"/>
    <x v="4"/>
    <x v="0"/>
    <x v="0"/>
  </r>
  <r>
    <s v="T-100258"/>
    <d v="2025-04-08T00:00:00"/>
    <s v="Sena Amouzou"/>
    <x v="2"/>
    <x v="3"/>
    <n v="298.06"/>
    <x v="16"/>
    <n v="11"/>
    <n v="3278.71"/>
    <x v="0"/>
    <x v="0"/>
    <x v="4"/>
    <s v="CHKFMC"/>
    <x v="1"/>
    <x v="1"/>
    <x v="0"/>
    <x v="1"/>
  </r>
  <r>
    <s v="T-100259"/>
    <d v="2025-06-30T00:00:00"/>
    <s v="Client Unknown"/>
    <x v="3"/>
    <x v="4"/>
    <n v="157.55000000000001"/>
    <x v="17"/>
    <n v="11"/>
    <n v="1733"/>
    <x v="0"/>
    <x v="0"/>
    <x v="4"/>
    <s v="CHKFMC"/>
    <x v="10"/>
    <x v="3"/>
    <x v="0"/>
    <x v="1"/>
  </r>
  <r>
    <s v="T-100260"/>
    <d v="2025-10-12T00:00:00"/>
    <s v="Sena Tete"/>
    <x v="1"/>
    <x v="2"/>
    <n v="2080.91"/>
    <x v="9"/>
    <n v="1"/>
    <n v="2080.91"/>
    <x v="0"/>
    <x v="1"/>
    <x v="2"/>
    <s v="OKÉNE"/>
    <x v="0"/>
    <x v="2"/>
    <x v="0"/>
    <x v="1"/>
  </r>
  <r>
    <s v="T-100261"/>
    <d v="2024-09-27T00:00:00"/>
    <s v="Elom Hounkpati"/>
    <x v="2"/>
    <x v="2"/>
    <n v="48.19"/>
    <x v="2"/>
    <n v="11"/>
    <n v="530.13"/>
    <x v="0"/>
    <x v="0"/>
    <x v="3"/>
    <s v="CHKTEL"/>
    <x v="2"/>
    <x v="4"/>
    <x v="0"/>
    <x v="0"/>
  </r>
  <r>
    <s v="T-100262"/>
    <d v="2024-05-05T00:00:00"/>
    <s v="Kossi Hounkpati"/>
    <x v="4"/>
    <x v="3"/>
    <n v="13.8"/>
    <x v="12"/>
    <n v="112"/>
    <n v="1545.69"/>
    <x v="0"/>
    <x v="0"/>
    <x v="3"/>
    <s v="OKTEL"/>
    <x v="7"/>
    <x v="2"/>
    <x v="0"/>
    <x v="0"/>
  </r>
  <r>
    <s v="T-100263"/>
    <d v="2024-04-20T00:00:00"/>
    <s v="Eyram Ayivi"/>
    <x v="3"/>
    <x v="4"/>
    <n v="17.63"/>
    <x v="10"/>
    <n v="100"/>
    <n v="1763.09"/>
    <x v="2"/>
    <x v="0"/>
    <x v="3"/>
    <s v="OKTEL"/>
    <x v="1"/>
    <x v="6"/>
    <x v="0"/>
    <x v="0"/>
  </r>
  <r>
    <s v="T-100264"/>
    <d v="2025-08-13T00:00:00"/>
    <s v="Akofa Gbogbo"/>
    <x v="2"/>
    <x v="2"/>
    <n v="50.22"/>
    <x v="2"/>
    <n v="13"/>
    <n v="652.79999999999995"/>
    <x v="0"/>
    <x v="0"/>
    <x v="2"/>
    <s v="CHKÉNE"/>
    <x v="4"/>
    <x v="5"/>
    <x v="0"/>
    <x v="1"/>
  </r>
  <r>
    <s v="T-100265"/>
    <d v="2024-08-08T00:00:00"/>
    <s v="Mawuli Amouzou"/>
    <x v="0"/>
    <x v="2"/>
    <n v="250.97"/>
    <x v="5"/>
    <n v="13"/>
    <n v="3262.58"/>
    <x v="2"/>
    <x v="0"/>
    <x v="2"/>
    <s v="CHKÉNE"/>
    <x v="4"/>
    <x v="0"/>
    <x v="0"/>
    <x v="0"/>
  </r>
  <r>
    <s v="T-100266"/>
    <d v="2024-09-01T00:00:00"/>
    <s v="Afi Amouzou"/>
    <x v="3"/>
    <x v="3"/>
    <n v="590.42999999999995"/>
    <x v="17"/>
    <n v="1"/>
    <n v="590.42999999999995"/>
    <x v="0"/>
    <x v="1"/>
    <x v="3"/>
    <s v="CHKTEL"/>
    <x v="2"/>
    <x v="2"/>
    <x v="0"/>
    <x v="0"/>
  </r>
  <r>
    <s v="T-100267"/>
    <d v="2024-10-11T00:00:00"/>
    <s v="Sena Gbogbo"/>
    <x v="2"/>
    <x v="1"/>
    <n v="154.44"/>
    <x v="2"/>
    <n v="12"/>
    <n v="1853.32"/>
    <x v="1"/>
    <x v="0"/>
    <x v="3"/>
    <s v="OKTEL"/>
    <x v="0"/>
    <x v="4"/>
    <x v="0"/>
    <x v="0"/>
  </r>
  <r>
    <s v="T-100268"/>
    <d v="2024-10-23T00:00:00"/>
    <s v="Afi Lawson"/>
    <x v="2"/>
    <x v="3"/>
    <n v="137.78"/>
    <x v="16"/>
    <n v="18"/>
    <n v="2480.0700000000002"/>
    <x v="0"/>
    <x v="0"/>
    <x v="2"/>
    <s v="REVÉNE"/>
    <x v="0"/>
    <x v="5"/>
    <x v="0"/>
    <x v="0"/>
  </r>
  <r>
    <s v="T-100269"/>
    <d v="2024-10-18T00:00:00"/>
    <s v="Kodjo Kossi"/>
    <x v="2"/>
    <x v="0"/>
    <n v="71.2"/>
    <x v="2"/>
    <n v="10"/>
    <n v="712"/>
    <x v="2"/>
    <x v="1"/>
    <x v="3"/>
    <s v="OKTEL"/>
    <x v="0"/>
    <x v="4"/>
    <x v="0"/>
    <x v="0"/>
  </r>
  <r>
    <s v="T-100270"/>
    <d v="2024-10-09T00:00:00"/>
    <s v="Kossi Gbogbo"/>
    <x v="4"/>
    <x v="1"/>
    <n v="110.5"/>
    <x v="14"/>
    <n v="14"/>
    <n v="1547.05"/>
    <x v="0"/>
    <x v="0"/>
    <x v="4"/>
    <s v="CHKFMC"/>
    <x v="0"/>
    <x v="5"/>
    <x v="0"/>
    <x v="0"/>
  </r>
  <r>
    <s v="T-100271"/>
    <d v="2025-01-30T00:00:00"/>
    <s v="Afi Agbo"/>
    <x v="4"/>
    <x v="3"/>
    <n v="66.16"/>
    <x v="14"/>
    <n v="18"/>
    <n v="1190.8599999999999"/>
    <x v="0"/>
    <x v="0"/>
    <x v="2"/>
    <s v="CHKÉNE"/>
    <x v="3"/>
    <x v="0"/>
    <x v="0"/>
    <x v="1"/>
  </r>
  <r>
    <s v="T-100272"/>
    <d v="2025-10-22T00:00:00"/>
    <s v="Elom Amouzou"/>
    <x v="2"/>
    <x v="0"/>
    <n v="1075.93"/>
    <x v="7"/>
    <n v="1"/>
    <n v="1075.93"/>
    <x v="1"/>
    <x v="1"/>
    <x v="3"/>
    <s v="OKTEL"/>
    <x v="0"/>
    <x v="5"/>
    <x v="0"/>
    <x v="1"/>
  </r>
  <r>
    <s v="T-100273"/>
    <d v="2024-04-19T00:00:00"/>
    <s v="Sena Ayivi"/>
    <x v="2"/>
    <x v="3"/>
    <n v="23.88"/>
    <x v="16"/>
    <n v="101"/>
    <n v="2411.42"/>
    <x v="1"/>
    <x v="0"/>
    <x v="1"/>
    <s v="CHKEDU"/>
    <x v="1"/>
    <x v="4"/>
    <x v="0"/>
    <x v="0"/>
  </r>
  <r>
    <s v="T-100274"/>
    <d v="2025-07-20T00:00:00"/>
    <s v="Mawuli Hounkpati"/>
    <x v="0"/>
    <x v="0"/>
    <n v="196.47"/>
    <x v="5"/>
    <n v="14"/>
    <n v="2750.6"/>
    <x v="2"/>
    <x v="0"/>
    <x v="1"/>
    <s v="OKEDU"/>
    <x v="5"/>
    <x v="2"/>
    <x v="0"/>
    <x v="1"/>
  </r>
  <r>
    <s v="T-100275"/>
    <d v="2025-10-19T00:00:00"/>
    <s v="Eyram Mensah"/>
    <x v="2"/>
    <x v="2"/>
    <n v="115.82"/>
    <x v="4"/>
    <n v="13"/>
    <n v="1505.66"/>
    <x v="0"/>
    <x v="0"/>
    <x v="1"/>
    <s v="CHKEDU"/>
    <x v="0"/>
    <x v="2"/>
    <x v="0"/>
    <x v="1"/>
  </r>
  <r>
    <s v="T-100276"/>
    <d v="2024-10-03T00:00:00"/>
    <s v="Elom Amouzou"/>
    <x v="4"/>
    <x v="2"/>
    <n v="762.66"/>
    <x v="6"/>
    <n v="1"/>
    <n v="762.66"/>
    <x v="0"/>
    <x v="1"/>
    <x v="3"/>
    <s v="REVTEL"/>
    <x v="0"/>
    <x v="0"/>
    <x v="0"/>
    <x v="0"/>
  </r>
  <r>
    <s v="T-100277"/>
    <d v="2025-01-20T00:00:00"/>
    <s v="Mawuli Lawson"/>
    <x v="1"/>
    <x v="0"/>
    <n v="173.39"/>
    <x v="11"/>
    <n v="11"/>
    <n v="1907.29"/>
    <x v="0"/>
    <x v="0"/>
    <x v="0"/>
    <s v="CHKAGR"/>
    <x v="3"/>
    <x v="3"/>
    <x v="0"/>
    <x v="1"/>
  </r>
  <r>
    <s v="T-100278"/>
    <d v="2024-11-18T00:00:00"/>
    <s v="Kodjo Lawson"/>
    <x v="0"/>
    <x v="3"/>
    <n v="147.65"/>
    <x v="8"/>
    <n v="6"/>
    <n v="885.9"/>
    <x v="0"/>
    <x v="1"/>
    <x v="4"/>
    <s v="CHKFMC"/>
    <x v="11"/>
    <x v="3"/>
    <x v="0"/>
    <x v="0"/>
  </r>
  <r>
    <s v="T-100279"/>
    <d v="2025-08-02T00:00:00"/>
    <s v="Sena Ayivi"/>
    <x v="1"/>
    <x v="1"/>
    <n v="152"/>
    <x v="19"/>
    <n v="10"/>
    <n v="13174.279999999999"/>
    <x v="0"/>
    <x v="0"/>
    <x v="2"/>
    <s v="CHKÉNE"/>
    <x v="4"/>
    <x v="6"/>
    <x v="1"/>
    <x v="1"/>
  </r>
  <r>
    <s v="T-100280"/>
    <d v="2025-09-03T00:00:00"/>
    <s v="Elom Amouzou"/>
    <x v="3"/>
    <x v="0"/>
    <n v="141.25"/>
    <x v="10"/>
    <n v="12"/>
    <n v="1695"/>
    <x v="2"/>
    <x v="0"/>
    <x v="4"/>
    <s v="OKFMC"/>
    <x v="2"/>
    <x v="5"/>
    <x v="0"/>
    <x v="1"/>
  </r>
  <r>
    <s v="T-100281"/>
    <d v="2024-08-28T00:00:00"/>
    <s v="Kossi Gbogbo"/>
    <x v="3"/>
    <x v="0"/>
    <n v="441.77"/>
    <x v="3"/>
    <n v="8"/>
    <n v="3534.15"/>
    <x v="0"/>
    <x v="0"/>
    <x v="3"/>
    <s v="CHKTEL"/>
    <x v="4"/>
    <x v="5"/>
    <x v="0"/>
    <x v="0"/>
  </r>
  <r>
    <s v="T-100282"/>
    <d v="2025-10-17T00:00:00"/>
    <s v="Elom Kpodo"/>
    <x v="4"/>
    <x v="1"/>
    <n v="313.5"/>
    <x v="14"/>
    <n v="8"/>
    <n v="2508"/>
    <x v="2"/>
    <x v="1"/>
    <x v="4"/>
    <s v="CHKFMC"/>
    <x v="0"/>
    <x v="4"/>
    <x v="0"/>
    <x v="1"/>
  </r>
  <r>
    <s v="T-100283"/>
    <d v="2025-09-23T00:00:00"/>
    <s v="Atsou Tete"/>
    <x v="3"/>
    <x v="2"/>
    <n v="112.68"/>
    <x v="3"/>
    <n v="4"/>
    <n v="450.73"/>
    <x v="0"/>
    <x v="1"/>
    <x v="4"/>
    <s v="CHKFMC"/>
    <x v="2"/>
    <x v="1"/>
    <x v="0"/>
    <x v="1"/>
  </r>
  <r>
    <s v="T-100284"/>
    <d v="2025-08-21T00:00:00"/>
    <s v="Akofa Tete"/>
    <x v="0"/>
    <x v="0"/>
    <n v="135.36000000000001"/>
    <x v="8"/>
    <n v="17"/>
    <n v="2301.04"/>
    <x v="1"/>
    <x v="0"/>
    <x v="4"/>
    <s v="REVFMC"/>
    <x v="4"/>
    <x v="0"/>
    <x v="0"/>
    <x v="1"/>
  </r>
  <r>
    <s v="T-100285"/>
    <d v="2024-04-04T00:00:00"/>
    <s v="Atsou Mensah"/>
    <x v="2"/>
    <x v="4"/>
    <n v="232.47"/>
    <x v="7"/>
    <n v="12"/>
    <n v="2789.7"/>
    <x v="1"/>
    <x v="0"/>
    <x v="0"/>
    <s v="OKAGR"/>
    <x v="1"/>
    <x v="0"/>
    <x v="0"/>
    <x v="0"/>
  </r>
  <r>
    <s v="T-100286"/>
    <d v="2025-08-24T00:00:00"/>
    <s v="Kodjo Kpodo"/>
    <x v="1"/>
    <x v="1"/>
    <n v="298.64999999999998"/>
    <x v="9"/>
    <n v="10"/>
    <n v="2986.51"/>
    <x v="2"/>
    <x v="1"/>
    <x v="4"/>
    <s v="CHKFMC"/>
    <x v="4"/>
    <x v="2"/>
    <x v="0"/>
    <x v="1"/>
  </r>
  <r>
    <s v="T-100287"/>
    <d v="2025-01-10T00:00:00"/>
    <s v="Kodjo Agbo"/>
    <x v="4"/>
    <x v="2"/>
    <n v="105.08"/>
    <x v="6"/>
    <n v="14"/>
    <n v="1471.17"/>
    <x v="2"/>
    <x v="0"/>
    <x v="4"/>
    <s v="CHKFMC"/>
    <x v="3"/>
    <x v="4"/>
    <x v="0"/>
    <x v="1"/>
  </r>
  <r>
    <s v="T-100288"/>
    <d v="2025-01-22T00:00:00"/>
    <s v="​Akofa Gbogbo  "/>
    <x v="0"/>
    <x v="1"/>
    <n v="456.33"/>
    <x v="8"/>
    <n v="6"/>
    <n v="2737.98"/>
    <x v="0"/>
    <x v="1"/>
    <x v="4"/>
    <s v="OKFMC"/>
    <x v="3"/>
    <x v="5"/>
    <x v="0"/>
    <x v="1"/>
  </r>
  <r>
    <s v="T-100289"/>
    <d v="2024-08-15T00:00:00"/>
    <s v="Elom Hounkpati"/>
    <x v="1"/>
    <x v="1"/>
    <n v="76.86"/>
    <x v="11"/>
    <n v="21"/>
    <n v="1614.06"/>
    <x v="0"/>
    <x v="0"/>
    <x v="0"/>
    <s v="OKAGR"/>
    <x v="4"/>
    <x v="0"/>
    <x v="0"/>
    <x v="0"/>
  </r>
  <r>
    <s v="T-100290"/>
    <d v="2024-10-04T00:00:00"/>
    <s v="Eyram Tete"/>
    <x v="4"/>
    <x v="3"/>
    <n v="222.02"/>
    <x v="6"/>
    <n v="15"/>
    <n v="3330.27"/>
    <x v="0"/>
    <x v="0"/>
    <x v="3"/>
    <s v="OKTEL"/>
    <x v="0"/>
    <x v="4"/>
    <x v="0"/>
    <x v="0"/>
  </r>
  <r>
    <s v="T-100291"/>
    <d v="2025-03-15T00:00:00"/>
    <s v="Yawa Mensah"/>
    <x v="3"/>
    <x v="2"/>
    <n v="419.33"/>
    <x v="10"/>
    <n v="12"/>
    <n v="5032"/>
    <x v="0"/>
    <x v="0"/>
    <x v="4"/>
    <s v="OKFMC"/>
    <x v="6"/>
    <x v="6"/>
    <x v="1"/>
    <x v="1"/>
  </r>
  <r>
    <s v="T-100292"/>
    <d v="2024-11-09T00:00:00"/>
    <s v="Mawuli Mensah"/>
    <x v="1"/>
    <x v="4"/>
    <n v="95.1"/>
    <x v="11"/>
    <n v="9"/>
    <n v="855.86"/>
    <x v="2"/>
    <x v="1"/>
    <x v="3"/>
    <s v="OKTEL"/>
    <x v="11"/>
    <x v="6"/>
    <x v="0"/>
    <x v="0"/>
  </r>
  <r>
    <s v="T-100293"/>
    <d v="2024-11-29T00:00:00"/>
    <s v="Akofa Amouzou"/>
    <x v="3"/>
    <x v="1"/>
    <n v="135.19999999999999"/>
    <x v="17"/>
    <n v="13"/>
    <n v="1757.6"/>
    <x v="0"/>
    <x v="0"/>
    <x v="3"/>
    <s v="CHKTEL"/>
    <x v="11"/>
    <x v="4"/>
    <x v="0"/>
    <x v="0"/>
  </r>
  <r>
    <s v="T-100294"/>
    <d v="2025-03-22T00:00:00"/>
    <s v="Kossi Mensah"/>
    <x v="3"/>
    <x v="3"/>
    <n v="234.29"/>
    <x v="3"/>
    <n v="5"/>
    <n v="1171.47"/>
    <x v="0"/>
    <x v="1"/>
    <x v="3"/>
    <s v="OKTEL"/>
    <x v="6"/>
    <x v="6"/>
    <x v="0"/>
    <x v="1"/>
  </r>
  <r>
    <s v="T-100295"/>
    <d v="2024-02-25T00:00:00"/>
    <s v="Client Unknown"/>
    <x v="3"/>
    <x v="3"/>
    <n v="66"/>
    <x v="10"/>
    <n v="13"/>
    <n v="858"/>
    <x v="0"/>
    <x v="0"/>
    <x v="2"/>
    <s v="OKÉNE"/>
    <x v="8"/>
    <x v="2"/>
    <x v="0"/>
    <x v="0"/>
  </r>
  <r>
    <s v="T-100296"/>
    <d v="2024-10-21T00:00:00"/>
    <s v="Akofa Hounkpati"/>
    <x v="3"/>
    <x v="3"/>
    <n v="180.26"/>
    <x v="15"/>
    <n v="9"/>
    <n v="1622.35"/>
    <x v="0"/>
    <x v="1"/>
    <x v="1"/>
    <s v="OKEDU"/>
    <x v="0"/>
    <x v="3"/>
    <x v="0"/>
    <x v="0"/>
  </r>
  <r>
    <s v="T-100297"/>
    <d v="2024-03-21T00:00:00"/>
    <s v="Kossi Hounkpati"/>
    <x v="2"/>
    <x v="2"/>
    <n v="183.65"/>
    <x v="16"/>
    <n v="8"/>
    <n v="1469.23"/>
    <x v="2"/>
    <x v="1"/>
    <x v="0"/>
    <s v="CHKAGR"/>
    <x v="6"/>
    <x v="0"/>
    <x v="0"/>
    <x v="0"/>
  </r>
  <r>
    <s v="T-100298"/>
    <d v="2025-07-30T00:00:00"/>
    <s v="​Yawa Agbo  "/>
    <x v="4"/>
    <x v="2"/>
    <n v="183.14"/>
    <x v="12"/>
    <n v="9"/>
    <n v="1648.28"/>
    <x v="2"/>
    <x v="1"/>
    <x v="4"/>
    <s v="REVFMC"/>
    <x v="5"/>
    <x v="5"/>
    <x v="0"/>
    <x v="1"/>
  </r>
  <r>
    <s v="T-100299"/>
    <d v="2024-08-03T00:00:00"/>
    <s v="Eyram Ayivi"/>
    <x v="0"/>
    <x v="3"/>
    <n v="312.91000000000003"/>
    <x v="0"/>
    <n v="9"/>
    <n v="2816.19"/>
    <x v="0"/>
    <x v="1"/>
    <x v="4"/>
    <s v="REVFMC"/>
    <x v="4"/>
    <x v="6"/>
    <x v="0"/>
    <x v="0"/>
  </r>
  <r>
    <s v="T-100300"/>
    <d v="2024-02-01T00:00:00"/>
    <s v="Kodjo Kossi"/>
    <x v="3"/>
    <x v="2"/>
    <n v="130.87"/>
    <x v="17"/>
    <n v="12"/>
    <n v="1570.45"/>
    <x v="1"/>
    <x v="0"/>
    <x v="3"/>
    <s v="CHKTEL"/>
    <x v="8"/>
    <x v="0"/>
    <x v="0"/>
    <x v="0"/>
  </r>
  <r>
    <s v="T-100301"/>
    <d v="2024-06-22T00:00:00"/>
    <s v="Yawa Kpodo"/>
    <x v="3"/>
    <x v="2"/>
    <n v="107.33"/>
    <x v="10"/>
    <n v="12"/>
    <n v="1288"/>
    <x v="0"/>
    <x v="0"/>
    <x v="4"/>
    <s v="OKFMC"/>
    <x v="10"/>
    <x v="6"/>
    <x v="0"/>
    <x v="0"/>
  </r>
  <r>
    <s v="T-100302"/>
    <d v="2025-10-30T00:00:00"/>
    <s v="Mawuli Ayivi"/>
    <x v="3"/>
    <x v="3"/>
    <n v="76.349999999999994"/>
    <x v="17"/>
    <n v="18"/>
    <n v="1374.29"/>
    <x v="1"/>
    <x v="0"/>
    <x v="3"/>
    <s v="CHKTEL"/>
    <x v="0"/>
    <x v="0"/>
    <x v="0"/>
    <x v="1"/>
  </r>
  <r>
    <s v="T-100303"/>
    <d v="2024-02-16T00:00:00"/>
    <s v="Client Unknown"/>
    <x v="0"/>
    <x v="2"/>
    <n v="124.12"/>
    <x v="5"/>
    <n v="17"/>
    <n v="2110"/>
    <x v="0"/>
    <x v="0"/>
    <x v="3"/>
    <s v="CHKTEL"/>
    <x v="8"/>
    <x v="4"/>
    <x v="0"/>
    <x v="0"/>
  </r>
  <r>
    <s v="T-100304"/>
    <d v="2024-01-13T00:00:00"/>
    <s v="​Akofa Kossi  "/>
    <x v="1"/>
    <x v="0"/>
    <n v="82.22"/>
    <x v="19"/>
    <n v="18"/>
    <n v="1480"/>
    <x v="0"/>
    <x v="0"/>
    <x v="0"/>
    <s v="CHKAGR"/>
    <x v="3"/>
    <x v="6"/>
    <x v="0"/>
    <x v="0"/>
  </r>
  <r>
    <s v="T-100305"/>
    <d v="2025-02-01T00:00:00"/>
    <s v="Sena Amouzou"/>
    <x v="4"/>
    <x v="0"/>
    <n v="344.83"/>
    <x v="6"/>
    <n v="5"/>
    <n v="1724.13"/>
    <x v="2"/>
    <x v="1"/>
    <x v="2"/>
    <s v="REVÉNE"/>
    <x v="8"/>
    <x v="6"/>
    <x v="0"/>
    <x v="1"/>
  </r>
  <r>
    <s v="T-100306"/>
    <d v="2024-07-07T00:00:00"/>
    <s v="Kodjo Gbogbo"/>
    <x v="2"/>
    <x v="3"/>
    <n v="1019.37"/>
    <x v="7"/>
    <n v="5"/>
    <n v="5096.84"/>
    <x v="0"/>
    <x v="0"/>
    <x v="0"/>
    <s v="CHKAGR"/>
    <x v="5"/>
    <x v="2"/>
    <x v="1"/>
    <x v="0"/>
  </r>
  <r>
    <s v="T-100307"/>
    <d v="2024-04-26T00:00:00"/>
    <s v="Elom Mensah"/>
    <x v="3"/>
    <x v="4"/>
    <n v="234.24"/>
    <x v="10"/>
    <n v="9"/>
    <n v="2108.14"/>
    <x v="1"/>
    <x v="1"/>
    <x v="4"/>
    <s v="REVFMC"/>
    <x v="1"/>
    <x v="4"/>
    <x v="0"/>
    <x v="0"/>
  </r>
  <r>
    <s v="T-100308"/>
    <d v="2025-01-23T00:00:00"/>
    <s v="Afi Kossi"/>
    <x v="3"/>
    <x v="3"/>
    <n v="128.33000000000001"/>
    <x v="3"/>
    <n v="12"/>
    <n v="1540"/>
    <x v="0"/>
    <x v="0"/>
    <x v="4"/>
    <s v="CHKFMC"/>
    <x v="3"/>
    <x v="0"/>
    <x v="0"/>
    <x v="1"/>
  </r>
  <r>
    <s v="T-100309"/>
    <d v="2024-09-22T00:00:00"/>
    <s v="Kodjo Tete"/>
    <x v="2"/>
    <x v="0"/>
    <n v="310.94"/>
    <x v="2"/>
    <n v="6"/>
    <n v="1865.62"/>
    <x v="1"/>
    <x v="1"/>
    <x v="1"/>
    <s v="OKEDU"/>
    <x v="2"/>
    <x v="2"/>
    <x v="0"/>
    <x v="0"/>
  </r>
  <r>
    <s v="T-100310"/>
    <d v="2024-04-26T00:00:00"/>
    <s v="Akofa Hounkpati"/>
    <x v="1"/>
    <x v="3"/>
    <n v="45.41"/>
    <x v="9"/>
    <n v="15"/>
    <n v="681.17"/>
    <x v="0"/>
    <x v="0"/>
    <x v="4"/>
    <s v="REVFMC"/>
    <x v="1"/>
    <x v="4"/>
    <x v="0"/>
    <x v="0"/>
  </r>
  <r>
    <s v="T-100311"/>
    <d v="2025-09-02T00:00:00"/>
    <s v="Afi Lawson"/>
    <x v="4"/>
    <x v="2"/>
    <n v="68.42"/>
    <x v="12"/>
    <n v="10"/>
    <n v="684.19"/>
    <x v="2"/>
    <x v="1"/>
    <x v="2"/>
    <s v="REVÉNE"/>
    <x v="2"/>
    <x v="1"/>
    <x v="0"/>
    <x v="1"/>
  </r>
  <r>
    <s v="T-100312"/>
    <d v="2025-10-12T00:00:00"/>
    <s v="Mawuli Hounkpati"/>
    <x v="3"/>
    <x v="4"/>
    <n v="419.5"/>
    <x v="15"/>
    <n v="8"/>
    <n v="3356"/>
    <x v="0"/>
    <x v="0"/>
    <x v="2"/>
    <s v="REVÉNE"/>
    <x v="0"/>
    <x v="2"/>
    <x v="0"/>
    <x v="1"/>
  </r>
  <r>
    <s v="T-100313"/>
    <d v="2025-05-12T00:00:00"/>
    <s v="Akofa Agbo"/>
    <x v="0"/>
    <x v="3"/>
    <n v="104.73"/>
    <x v="0"/>
    <n v="11"/>
    <n v="1152"/>
    <x v="0"/>
    <x v="0"/>
    <x v="0"/>
    <s v="OKAGR"/>
    <x v="7"/>
    <x v="3"/>
    <x v="0"/>
    <x v="1"/>
  </r>
  <r>
    <s v="T-100314"/>
    <d v="2024-04-05T00:00:00"/>
    <s v="Atsou Mensah"/>
    <x v="3"/>
    <x v="2"/>
    <n v="205.78"/>
    <x v="3"/>
    <n v="7"/>
    <n v="1440.48"/>
    <x v="0"/>
    <x v="1"/>
    <x v="2"/>
    <s v="CHKÉNE"/>
    <x v="1"/>
    <x v="4"/>
    <x v="0"/>
    <x v="0"/>
  </r>
  <r>
    <s v="T-100315"/>
    <d v="2024-11-17T00:00:00"/>
    <s v="Elom Gbogbo"/>
    <x v="0"/>
    <x v="2"/>
    <n v="80.19"/>
    <x v="0"/>
    <n v="12"/>
    <n v="962.32"/>
    <x v="1"/>
    <x v="0"/>
    <x v="4"/>
    <s v="CHKFMC"/>
    <x v="11"/>
    <x v="2"/>
    <x v="0"/>
    <x v="0"/>
  </r>
  <r>
    <s v="T-100316"/>
    <d v="2024-12-27T00:00:00"/>
    <s v="Mawuli Mensah"/>
    <x v="3"/>
    <x v="2"/>
    <n v="142.63999999999999"/>
    <x v="10"/>
    <n v="5"/>
    <n v="713.19999999999993"/>
    <x v="2"/>
    <x v="1"/>
    <x v="4"/>
    <s v="OKFMC"/>
    <x v="9"/>
    <x v="4"/>
    <x v="0"/>
    <x v="0"/>
  </r>
  <r>
    <s v="T-100317"/>
    <d v="2025-05-05T00:00:00"/>
    <s v="Mawuli Amouzou"/>
    <x v="1"/>
    <x v="1"/>
    <n v="122.84"/>
    <x v="9"/>
    <n v="6"/>
    <n v="737.02"/>
    <x v="0"/>
    <x v="1"/>
    <x v="2"/>
    <s v="OKÉNE"/>
    <x v="7"/>
    <x v="3"/>
    <x v="0"/>
    <x v="1"/>
  </r>
  <r>
    <s v="T-100318"/>
    <d v="2025-09-07T00:00:00"/>
    <s v="elom mensah"/>
    <x v="2"/>
    <x v="4"/>
    <n v="121.43"/>
    <x v="7"/>
    <n v="20"/>
    <n v="2428.67"/>
    <x v="2"/>
    <x v="0"/>
    <x v="0"/>
    <s v="OKAGR"/>
    <x v="2"/>
    <x v="2"/>
    <x v="0"/>
    <x v="1"/>
  </r>
  <r>
    <s v="T-100319"/>
    <d v="2025-05-01T00:00:00"/>
    <s v="Elom Tete"/>
    <x v="0"/>
    <x v="1"/>
    <n v="119.92"/>
    <x v="0"/>
    <n v="13"/>
    <n v="1559"/>
    <x v="0"/>
    <x v="0"/>
    <x v="2"/>
    <s v="CHKÉNE"/>
    <x v="7"/>
    <x v="0"/>
    <x v="0"/>
    <x v="1"/>
  </r>
  <r>
    <s v="T-100320"/>
    <d v="2024-06-19T00:00:00"/>
    <s v="akofa amouzou"/>
    <x v="1"/>
    <x v="3"/>
    <n v="190.97"/>
    <x v="1"/>
    <n v="13"/>
    <n v="2482.58"/>
    <x v="0"/>
    <x v="0"/>
    <x v="0"/>
    <s v="REVAGR"/>
    <x v="10"/>
    <x v="5"/>
    <x v="0"/>
    <x v="0"/>
  </r>
  <r>
    <s v="T-100321"/>
    <d v="2024-08-15T00:00:00"/>
    <s v="Elom Tete"/>
    <x v="3"/>
    <x v="1"/>
    <n v="273.52999999999997"/>
    <x v="3"/>
    <n v="12"/>
    <n v="3282.36"/>
    <x v="2"/>
    <x v="0"/>
    <x v="3"/>
    <s v="OKTEL"/>
    <x v="4"/>
    <x v="0"/>
    <x v="0"/>
    <x v="0"/>
  </r>
  <r>
    <s v="T-100322"/>
    <d v="2024-05-12T00:00:00"/>
    <s v="Eyram Amouzou"/>
    <x v="4"/>
    <x v="1"/>
    <n v="46.05"/>
    <x v="12"/>
    <n v="20"/>
    <n v="921"/>
    <x v="0"/>
    <x v="0"/>
    <x v="1"/>
    <s v="OKEDU"/>
    <x v="7"/>
    <x v="2"/>
    <x v="0"/>
    <x v="0"/>
  </r>
  <r>
    <s v="T-100323"/>
    <d v="2024-01-21T00:00:00"/>
    <s v="Afi Mensah"/>
    <x v="4"/>
    <x v="2"/>
    <n v="167.51"/>
    <x v="6"/>
    <n v="10"/>
    <n v="1675.1"/>
    <x v="1"/>
    <x v="1"/>
    <x v="0"/>
    <s v="REVAGR"/>
    <x v="3"/>
    <x v="2"/>
    <x v="0"/>
    <x v="0"/>
  </r>
  <r>
    <s v="T-100324"/>
    <d v="2025-02-08T00:00:00"/>
    <s v="Mawuli Amouzou"/>
    <x v="3"/>
    <x v="3"/>
    <n v="260.14"/>
    <x v="17"/>
    <n v="8"/>
    <n v="2081.1"/>
    <x v="0"/>
    <x v="1"/>
    <x v="4"/>
    <s v="REVFMC"/>
    <x v="8"/>
    <x v="6"/>
    <x v="0"/>
    <x v="1"/>
  </r>
  <r>
    <s v="T-100325"/>
    <d v="2025-07-21T00:00:00"/>
    <s v="Kodjo Kossi"/>
    <x v="1"/>
    <x v="2"/>
    <n v="101.91"/>
    <x v="19"/>
    <n v="13"/>
    <n v="1324.81"/>
    <x v="0"/>
    <x v="0"/>
    <x v="1"/>
    <s v="CHKEDU"/>
    <x v="5"/>
    <x v="3"/>
    <x v="0"/>
    <x v="1"/>
  </r>
  <r>
    <s v="T-100326"/>
    <d v="2024-03-17T00:00:00"/>
    <s v="Kodjo Mensah"/>
    <x v="4"/>
    <x v="1"/>
    <n v="132.25"/>
    <x v="14"/>
    <n v="10"/>
    <n v="1322.48"/>
    <x v="2"/>
    <x v="1"/>
    <x v="0"/>
    <s v="REVAGR"/>
    <x v="6"/>
    <x v="2"/>
    <x v="0"/>
    <x v="0"/>
  </r>
  <r>
    <s v="T-100327"/>
    <d v="2025-10-18T00:00:00"/>
    <s v="Afi Lawson"/>
    <x v="3"/>
    <x v="0"/>
    <n v="13.6"/>
    <x v="15"/>
    <n v="93"/>
    <n v="1264.71"/>
    <x v="2"/>
    <x v="0"/>
    <x v="2"/>
    <s v="REVÉNE"/>
    <x v="0"/>
    <x v="6"/>
    <x v="0"/>
    <x v="1"/>
  </r>
  <r>
    <s v="T-100328"/>
    <d v="2024-10-01T00:00:00"/>
    <s v="Eyram Ayivi"/>
    <x v="0"/>
    <x v="2"/>
    <n v="41.06"/>
    <x v="5"/>
    <n v="13"/>
    <n v="533.75"/>
    <x v="0"/>
    <x v="0"/>
    <x v="3"/>
    <s v="REVTEL"/>
    <x v="0"/>
    <x v="1"/>
    <x v="0"/>
    <x v="0"/>
  </r>
  <r>
    <s v="T-100329"/>
    <d v="2025-01-07T00:00:00"/>
    <s v="atsou tete"/>
    <x v="3"/>
    <x v="4"/>
    <n v="210.11"/>
    <x v="15"/>
    <n v="9"/>
    <n v="1891.02"/>
    <x v="0"/>
    <x v="1"/>
    <x v="3"/>
    <s v="REVTEL"/>
    <x v="3"/>
    <x v="1"/>
    <x v="0"/>
    <x v="1"/>
  </r>
  <r>
    <s v="T-100330"/>
    <d v="2024-01-06T00:00:00"/>
    <s v="Elom Mensah"/>
    <x v="0"/>
    <x v="1"/>
    <n v="72.069999999999993"/>
    <x v="0"/>
    <n v="17"/>
    <n v="1225.26"/>
    <x v="0"/>
    <x v="0"/>
    <x v="2"/>
    <s v="CHKÉNE"/>
    <x v="3"/>
    <x v="6"/>
    <x v="0"/>
    <x v="0"/>
  </r>
  <r>
    <s v="T-100331"/>
    <d v="2025-08-14T00:00:00"/>
    <s v="Yawa Hounkpati"/>
    <x v="1"/>
    <x v="2"/>
    <n v="143.66"/>
    <x v="9"/>
    <n v="11"/>
    <n v="1580.21"/>
    <x v="0"/>
    <x v="0"/>
    <x v="2"/>
    <s v="OKÉNE"/>
    <x v="4"/>
    <x v="0"/>
    <x v="0"/>
    <x v="1"/>
  </r>
  <r>
    <s v="T-100332"/>
    <d v="2024-03-06T00:00:00"/>
    <s v="Kossi Tete"/>
    <x v="4"/>
    <x v="0"/>
    <n v="188.47"/>
    <x v="12"/>
    <n v="8"/>
    <n v="1507.73"/>
    <x v="2"/>
    <x v="1"/>
    <x v="3"/>
    <s v="OKTEL"/>
    <x v="6"/>
    <x v="5"/>
    <x v="0"/>
    <x v="0"/>
  </r>
  <r>
    <s v="T-100333"/>
    <d v="2025-09-06T00:00:00"/>
    <s v="Akofa Kpodo"/>
    <x v="0"/>
    <x v="4"/>
    <n v="333.67"/>
    <x v="8"/>
    <n v="9"/>
    <n v="3003"/>
    <x v="1"/>
    <x v="0"/>
    <x v="1"/>
    <s v="REVEDU"/>
    <x v="2"/>
    <x v="6"/>
    <x v="0"/>
    <x v="1"/>
  </r>
  <r>
    <s v="T-100334"/>
    <d v="2025-05-03T00:00:00"/>
    <s v="Eyram Tete"/>
    <x v="0"/>
    <x v="4"/>
    <n v="262.58999999999997"/>
    <x v="0"/>
    <n v="5"/>
    <n v="1312.95"/>
    <x v="0"/>
    <x v="1"/>
    <x v="1"/>
    <s v="OKEDU"/>
    <x v="7"/>
    <x v="6"/>
    <x v="0"/>
    <x v="1"/>
  </r>
  <r>
    <s v="T-100335"/>
    <d v="2024-12-27T00:00:00"/>
    <s v="Atsou Hounkpati"/>
    <x v="4"/>
    <x v="1"/>
    <n v="51.61"/>
    <x v="18"/>
    <n v="19"/>
    <n v="980.63"/>
    <x v="1"/>
    <x v="0"/>
    <x v="0"/>
    <s v="REVAGR"/>
    <x v="9"/>
    <x v="4"/>
    <x v="0"/>
    <x v="0"/>
  </r>
  <r>
    <s v="T-100336"/>
    <d v="2024-07-05T00:00:00"/>
    <s v="Eyram Tete"/>
    <x v="1"/>
    <x v="2"/>
    <n v="291.69"/>
    <x v="19"/>
    <n v="12"/>
    <n v="3500.25"/>
    <x v="0"/>
    <x v="0"/>
    <x v="3"/>
    <s v="CHKTEL"/>
    <x v="5"/>
    <x v="4"/>
    <x v="0"/>
    <x v="0"/>
  </r>
  <r>
    <s v="T-100337"/>
    <d v="2024-10-18T00:00:00"/>
    <s v="Kodjo Ayivi"/>
    <x v="3"/>
    <x v="1"/>
    <n v="119.12"/>
    <x v="17"/>
    <n v="18"/>
    <n v="2144.12"/>
    <x v="0"/>
    <x v="0"/>
    <x v="2"/>
    <s v="OKÉNE"/>
    <x v="0"/>
    <x v="4"/>
    <x v="0"/>
    <x v="0"/>
  </r>
  <r>
    <s v="T-100338"/>
    <d v="2025-09-20T00:00:00"/>
    <s v="Afi Agbo"/>
    <x v="1"/>
    <x v="2"/>
    <n v="303.25"/>
    <x v="9"/>
    <n v="8"/>
    <n v="2426"/>
    <x v="0"/>
    <x v="1"/>
    <x v="4"/>
    <s v="REVFMC"/>
    <x v="2"/>
    <x v="6"/>
    <x v="0"/>
    <x v="1"/>
  </r>
  <r>
    <s v="T-100339"/>
    <d v="2024-07-01T00:00:00"/>
    <s v="Kodjo Kossi"/>
    <x v="2"/>
    <x v="2"/>
    <n v="32.08"/>
    <x v="16"/>
    <n v="71"/>
    <n v="2277.5100000000002"/>
    <x v="0"/>
    <x v="0"/>
    <x v="3"/>
    <s v="OKTEL"/>
    <x v="5"/>
    <x v="3"/>
    <x v="0"/>
    <x v="0"/>
  </r>
  <r>
    <s v="T-100340"/>
    <d v="2024-04-28T00:00:00"/>
    <s v="Client Unknown"/>
    <x v="3"/>
    <x v="3"/>
    <n v="1230.77"/>
    <x v="17"/>
    <n v="1"/>
    <n v="1230.77"/>
    <x v="0"/>
    <x v="1"/>
    <x v="1"/>
    <s v="CHKEDU"/>
    <x v="1"/>
    <x v="2"/>
    <x v="0"/>
    <x v="0"/>
  </r>
  <r>
    <s v="T-100341"/>
    <d v="2024-06-08T00:00:00"/>
    <s v="Kossi Lawson"/>
    <x v="1"/>
    <x v="2"/>
    <n v="231.32"/>
    <x v="11"/>
    <n v="10"/>
    <n v="2313.16"/>
    <x v="0"/>
    <x v="1"/>
    <x v="2"/>
    <s v="CHKÉNE"/>
    <x v="10"/>
    <x v="6"/>
    <x v="0"/>
    <x v="0"/>
  </r>
  <r>
    <s v="T-100342"/>
    <d v="2024-09-30T00:00:00"/>
    <s v="Eyram Tete"/>
    <x v="4"/>
    <x v="0"/>
    <n v="313.95"/>
    <x v="18"/>
    <n v="9"/>
    <n v="2825.57"/>
    <x v="2"/>
    <x v="1"/>
    <x v="2"/>
    <s v="CHKÉNE"/>
    <x v="2"/>
    <x v="3"/>
    <x v="0"/>
    <x v="0"/>
  </r>
  <r>
    <s v="T-100343"/>
    <d v="2024-06-09T00:00:00"/>
    <s v="Kossi Kossi"/>
    <x v="4"/>
    <x v="2"/>
    <n v="296.26"/>
    <x v="12"/>
    <n v="8"/>
    <n v="2370.12"/>
    <x v="0"/>
    <x v="1"/>
    <x v="0"/>
    <s v="REVAGR"/>
    <x v="10"/>
    <x v="2"/>
    <x v="0"/>
    <x v="0"/>
  </r>
  <r>
    <s v="T-100344"/>
    <d v="2024-08-13T00:00:00"/>
    <s v="Atsou Tete"/>
    <x v="2"/>
    <x v="2"/>
    <n v="414.23"/>
    <x v="2"/>
    <n v="11"/>
    <n v="4556.4799999999996"/>
    <x v="0"/>
    <x v="0"/>
    <x v="4"/>
    <s v="CHKFMC"/>
    <x v="4"/>
    <x v="1"/>
    <x v="1"/>
    <x v="0"/>
  </r>
  <r>
    <s v="T-100345"/>
    <d v="2024-05-23T00:00:00"/>
    <s v="Yawa Gbogbo"/>
    <x v="3"/>
    <x v="4"/>
    <n v="75.819999999999993"/>
    <x v="3"/>
    <n v="11"/>
    <n v="834"/>
    <x v="0"/>
    <x v="0"/>
    <x v="1"/>
    <s v="CHKEDU"/>
    <x v="7"/>
    <x v="0"/>
    <x v="0"/>
    <x v="0"/>
  </r>
  <r>
    <s v="T-100346"/>
    <d v="2024-02-20T00:00:00"/>
    <s v="Elom Lawson"/>
    <x v="4"/>
    <x v="0"/>
    <n v="97.49"/>
    <x v="6"/>
    <n v="12"/>
    <n v="1169.8799999999999"/>
    <x v="0"/>
    <x v="0"/>
    <x v="2"/>
    <s v="CHKÉNE"/>
    <x v="8"/>
    <x v="1"/>
    <x v="0"/>
    <x v="0"/>
  </r>
  <r>
    <s v="T-100347"/>
    <d v="2025-10-03T00:00:00"/>
    <s v="Yawa Mensah"/>
    <x v="3"/>
    <x v="3"/>
    <n v="253.75"/>
    <x v="15"/>
    <n v="7"/>
    <n v="1776.28"/>
    <x v="2"/>
    <x v="1"/>
    <x v="3"/>
    <s v="REVTEL"/>
    <x v="0"/>
    <x v="4"/>
    <x v="0"/>
    <x v="1"/>
  </r>
  <r>
    <s v="T-100348"/>
    <d v="2024-08-31T00:00:00"/>
    <s v="Yawa Kpodo"/>
    <x v="2"/>
    <x v="0"/>
    <n v="199.75"/>
    <x v="7"/>
    <n v="10"/>
    <n v="1997.49"/>
    <x v="0"/>
    <x v="1"/>
    <x v="0"/>
    <s v="OKAGR"/>
    <x v="4"/>
    <x v="6"/>
    <x v="0"/>
    <x v="0"/>
  </r>
  <r>
    <s v="T-100349"/>
    <d v="2025-08-16T00:00:00"/>
    <s v="Elom Mensah"/>
    <x v="0"/>
    <x v="4"/>
    <n v="123.62"/>
    <x v="13"/>
    <n v="11"/>
    <n v="1359.77"/>
    <x v="2"/>
    <x v="0"/>
    <x v="1"/>
    <s v="OKEDU"/>
    <x v="4"/>
    <x v="6"/>
    <x v="0"/>
    <x v="1"/>
  </r>
  <r>
    <s v="T-100350"/>
    <d v="2025-10-13T00:00:00"/>
    <s v="Akofa Amouzou"/>
    <x v="4"/>
    <x v="4"/>
    <n v="74.88"/>
    <x v="14"/>
    <n v="10"/>
    <n v="748.75"/>
    <x v="1"/>
    <x v="1"/>
    <x v="4"/>
    <s v="CHKFMC"/>
    <x v="0"/>
    <x v="3"/>
    <x v="0"/>
    <x v="1"/>
  </r>
  <r>
    <s v="T-100351"/>
    <d v="2025-03-20T00:00:00"/>
    <s v="Elom Tete"/>
    <x v="4"/>
    <x v="1"/>
    <n v="106.28"/>
    <x v="12"/>
    <n v="15"/>
    <n v="1594.2"/>
    <x v="0"/>
    <x v="0"/>
    <x v="2"/>
    <s v="REVÉNE"/>
    <x v="6"/>
    <x v="0"/>
    <x v="0"/>
    <x v="1"/>
  </r>
  <r>
    <s v="T-100352"/>
    <d v="2024-01-22T00:00:00"/>
    <s v="elom gbogbo"/>
    <x v="1"/>
    <x v="2"/>
    <n v="74.8"/>
    <x v="9"/>
    <n v="18"/>
    <n v="1346.31"/>
    <x v="2"/>
    <x v="0"/>
    <x v="1"/>
    <s v="OKEDU"/>
    <x v="3"/>
    <x v="3"/>
    <x v="0"/>
    <x v="0"/>
  </r>
  <r>
    <s v="T-100353"/>
    <d v="2024-04-20T00:00:00"/>
    <s v="Kossi Hounkpati"/>
    <x v="0"/>
    <x v="2"/>
    <n v="90.43"/>
    <x v="8"/>
    <n v="15"/>
    <n v="1356.5"/>
    <x v="1"/>
    <x v="0"/>
    <x v="1"/>
    <s v="OKEDU"/>
    <x v="1"/>
    <x v="6"/>
    <x v="0"/>
    <x v="0"/>
  </r>
  <r>
    <s v="T-100354"/>
    <d v="2024-05-07T00:00:00"/>
    <s v="Akofa Mensah"/>
    <x v="3"/>
    <x v="4"/>
    <n v="83.55"/>
    <x v="10"/>
    <n v="9"/>
    <n v="751.94"/>
    <x v="2"/>
    <x v="1"/>
    <x v="2"/>
    <s v="OKÉNE"/>
    <x v="7"/>
    <x v="1"/>
    <x v="0"/>
    <x v="0"/>
  </r>
  <r>
    <s v="T-100355"/>
    <d v="2025-07-25T00:00:00"/>
    <s v="Kossi Lawson"/>
    <x v="3"/>
    <x v="2"/>
    <n v="16.05"/>
    <x v="10"/>
    <n v="80"/>
    <n v="1284.23"/>
    <x v="0"/>
    <x v="0"/>
    <x v="4"/>
    <s v="OKFMC"/>
    <x v="5"/>
    <x v="4"/>
    <x v="0"/>
    <x v="1"/>
  </r>
  <r>
    <s v="T-100356"/>
    <d v="2024-01-24T00:00:00"/>
    <s v="Kossi Gbogbo"/>
    <x v="2"/>
    <x v="3"/>
    <n v="297.27999999999997"/>
    <x v="7"/>
    <n v="7"/>
    <n v="2080.9699999999998"/>
    <x v="0"/>
    <x v="1"/>
    <x v="1"/>
    <s v="OKEDU"/>
    <x v="3"/>
    <x v="5"/>
    <x v="0"/>
    <x v="0"/>
  </r>
  <r>
    <s v="T-100357"/>
    <d v="2024-02-03T00:00:00"/>
    <s v="Kodjo Kossi"/>
    <x v="1"/>
    <x v="0"/>
    <n v="302.49"/>
    <x v="19"/>
    <n v="12"/>
    <n v="3629.88"/>
    <x v="0"/>
    <x v="0"/>
    <x v="4"/>
    <s v="OKFMC"/>
    <x v="8"/>
    <x v="6"/>
    <x v="0"/>
    <x v="0"/>
  </r>
  <r>
    <s v="T-100358"/>
    <d v="2025-07-07T00:00:00"/>
    <s v="​Elom Ayivi  "/>
    <x v="4"/>
    <x v="1"/>
    <n v="57.16"/>
    <x v="14"/>
    <n v="17"/>
    <n v="971.68"/>
    <x v="0"/>
    <x v="0"/>
    <x v="2"/>
    <s v="CHKÉNE"/>
    <x v="5"/>
    <x v="3"/>
    <x v="0"/>
    <x v="1"/>
  </r>
  <r>
    <s v="T-100359"/>
    <d v="2024-08-09T00:00:00"/>
    <s v="Yawa Tete"/>
    <x v="0"/>
    <x v="3"/>
    <n v="107.45"/>
    <x v="13"/>
    <n v="11"/>
    <n v="1181.98"/>
    <x v="0"/>
    <x v="0"/>
    <x v="0"/>
    <s v="OKAGR"/>
    <x v="4"/>
    <x v="4"/>
    <x v="0"/>
    <x v="0"/>
  </r>
  <r>
    <s v="T-100360"/>
    <d v="2024-10-14T00:00:00"/>
    <s v="Afi Gbogbo"/>
    <x v="0"/>
    <x v="0"/>
    <n v="504.91"/>
    <x v="8"/>
    <n v="10"/>
    <n v="166.2715"/>
    <x v="0"/>
    <x v="1"/>
    <x v="1"/>
    <s v="CHKEDU"/>
    <x v="0"/>
    <x v="3"/>
    <x v="0"/>
    <x v="0"/>
  </r>
  <r>
    <s v="T-100361"/>
    <d v="2025-08-04T00:00:00"/>
    <s v="Atsou Mensah"/>
    <x v="0"/>
    <x v="1"/>
    <n v="134.57"/>
    <x v="5"/>
    <n v="7"/>
    <n v="942"/>
    <x v="0"/>
    <x v="1"/>
    <x v="1"/>
    <s v="REVEDU"/>
    <x v="4"/>
    <x v="3"/>
    <x v="0"/>
    <x v="1"/>
  </r>
  <r>
    <s v="T-100362"/>
    <d v="2025-04-27T00:00:00"/>
    <s v="Akofa Mensah"/>
    <x v="1"/>
    <x v="4"/>
    <n v="174.91"/>
    <x v="11"/>
    <n v="8"/>
    <n v="1399.31"/>
    <x v="0"/>
    <x v="1"/>
    <x v="0"/>
    <s v="REVAGR"/>
    <x v="1"/>
    <x v="2"/>
    <x v="0"/>
    <x v="1"/>
  </r>
  <r>
    <s v="T-100363"/>
    <d v="2025-06-06T00:00:00"/>
    <s v="Mawuli Hounkpati"/>
    <x v="0"/>
    <x v="4"/>
    <n v="245.11"/>
    <x v="5"/>
    <n v="11"/>
    <n v="2696.19"/>
    <x v="0"/>
    <x v="0"/>
    <x v="3"/>
    <s v="OKTEL"/>
    <x v="10"/>
    <x v="4"/>
    <x v="0"/>
    <x v="1"/>
  </r>
  <r>
    <s v="T-100364"/>
    <d v="2025-01-05T00:00:00"/>
    <s v="Akofa Lawson"/>
    <x v="0"/>
    <x v="2"/>
    <n v="166.09"/>
    <x v="8"/>
    <n v="12"/>
    <n v="1993.04"/>
    <x v="0"/>
    <x v="0"/>
    <x v="4"/>
    <s v="OKFMC"/>
    <x v="3"/>
    <x v="2"/>
    <x v="0"/>
    <x v="1"/>
  </r>
  <r>
    <s v="T-100365"/>
    <d v="2025-07-06T00:00:00"/>
    <s v="Client Unknown"/>
    <x v="2"/>
    <x v="2"/>
    <n v="86.92"/>
    <x v="7"/>
    <n v="13"/>
    <n v="1129.94"/>
    <x v="2"/>
    <x v="0"/>
    <x v="3"/>
    <s v="OKTEL"/>
    <x v="5"/>
    <x v="2"/>
    <x v="0"/>
    <x v="1"/>
  </r>
  <r>
    <s v="T-100366"/>
    <d v="2025-03-16T00:00:00"/>
    <s v="Elom Mensah"/>
    <x v="4"/>
    <x v="3"/>
    <n v="228.16"/>
    <x v="14"/>
    <n v="9"/>
    <n v="2053.4299999999998"/>
    <x v="0"/>
    <x v="1"/>
    <x v="2"/>
    <s v="OKÉNE"/>
    <x v="6"/>
    <x v="2"/>
    <x v="0"/>
    <x v="1"/>
  </r>
  <r>
    <s v="T-100367"/>
    <d v="2025-05-30T00:00:00"/>
    <s v="Mawuli Kossi"/>
    <x v="1"/>
    <x v="3"/>
    <n v="218.89"/>
    <x v="9"/>
    <n v="12"/>
    <n v="2626.63"/>
    <x v="0"/>
    <x v="0"/>
    <x v="2"/>
    <s v="CHKÉNE"/>
    <x v="7"/>
    <x v="4"/>
    <x v="0"/>
    <x v="1"/>
  </r>
  <r>
    <s v="T-100368"/>
    <d v="2024-05-26T00:00:00"/>
    <s v="Eyram Ayivi"/>
    <x v="1"/>
    <x v="2"/>
    <n v="194.52"/>
    <x v="9"/>
    <n v="13"/>
    <n v="2528.8000000000002"/>
    <x v="0"/>
    <x v="0"/>
    <x v="0"/>
    <s v="CHKAGR"/>
    <x v="7"/>
    <x v="2"/>
    <x v="0"/>
    <x v="0"/>
  </r>
  <r>
    <s v="T-100369"/>
    <d v="2024-08-31T00:00:00"/>
    <s v="Client Unknown"/>
    <x v="3"/>
    <x v="0"/>
    <n v="144"/>
    <x v="3"/>
    <n v="12"/>
    <n v="1728"/>
    <x v="1"/>
    <x v="0"/>
    <x v="1"/>
    <s v="CHKEDU"/>
    <x v="4"/>
    <x v="6"/>
    <x v="0"/>
    <x v="0"/>
  </r>
  <r>
    <s v="T-100370"/>
    <d v="2025-07-28T00:00:00"/>
    <s v="Elom Ayivi"/>
    <x v="0"/>
    <x v="3"/>
    <n v="530.15"/>
    <x v="8"/>
    <n v="13"/>
    <n v="6892"/>
    <x v="0"/>
    <x v="0"/>
    <x v="4"/>
    <s v="REVFMC"/>
    <x v="5"/>
    <x v="3"/>
    <x v="1"/>
    <x v="1"/>
  </r>
  <r>
    <s v="T-100371"/>
    <d v="2025-04-26T00:00:00"/>
    <s v="Sena Mensah"/>
    <x v="3"/>
    <x v="3"/>
    <n v="165.93"/>
    <x v="15"/>
    <n v="9"/>
    <n v="1493.39"/>
    <x v="2"/>
    <x v="1"/>
    <x v="2"/>
    <s v="OKÉNE"/>
    <x v="1"/>
    <x v="6"/>
    <x v="0"/>
    <x v="1"/>
  </r>
  <r>
    <s v="T-100372"/>
    <d v="2025-06-26T00:00:00"/>
    <s v="Afi Lawson"/>
    <x v="2"/>
    <x v="3"/>
    <n v="86.57"/>
    <x v="7"/>
    <n v="14"/>
    <n v="1212"/>
    <x v="2"/>
    <x v="0"/>
    <x v="0"/>
    <s v="CHKAGR"/>
    <x v="10"/>
    <x v="0"/>
    <x v="0"/>
    <x v="1"/>
  </r>
  <r>
    <s v="T-100373"/>
    <d v="2024-12-21T00:00:00"/>
    <s v="Mawuli Lawson"/>
    <x v="3"/>
    <x v="0"/>
    <n v="78.239999999999995"/>
    <x v="15"/>
    <n v="11"/>
    <n v="860.61"/>
    <x v="2"/>
    <x v="0"/>
    <x v="3"/>
    <s v="CHKTEL"/>
    <x v="9"/>
    <x v="6"/>
    <x v="0"/>
    <x v="0"/>
  </r>
  <r>
    <s v="T-100374"/>
    <d v="2025-08-27T00:00:00"/>
    <s v="​yawa gbogbo  "/>
    <x v="4"/>
    <x v="4"/>
    <n v="159.56"/>
    <x v="14"/>
    <n v="16"/>
    <n v="2553"/>
    <x v="1"/>
    <x v="0"/>
    <x v="2"/>
    <s v="REVÉNE"/>
    <x v="4"/>
    <x v="5"/>
    <x v="0"/>
    <x v="1"/>
  </r>
  <r>
    <s v="T-100375"/>
    <d v="2024-12-21T00:00:00"/>
    <s v="Elom Hounkpati"/>
    <x v="1"/>
    <x v="3"/>
    <n v="239.92"/>
    <x v="11"/>
    <n v="6"/>
    <n v="1439.54"/>
    <x v="0"/>
    <x v="1"/>
    <x v="1"/>
    <s v="CHKEDU"/>
    <x v="9"/>
    <x v="6"/>
    <x v="0"/>
    <x v="0"/>
  </r>
  <r>
    <s v="T-100376"/>
    <d v="2024-08-13T00:00:00"/>
    <s v="Sena Kpodo"/>
    <x v="3"/>
    <x v="2"/>
    <n v="102.73"/>
    <x v="3"/>
    <n v="10"/>
    <n v="1027.3399999999999"/>
    <x v="2"/>
    <x v="1"/>
    <x v="2"/>
    <s v="REVÉNE"/>
    <x v="4"/>
    <x v="1"/>
    <x v="0"/>
    <x v="0"/>
  </r>
  <r>
    <s v="T-100377"/>
    <d v="2024-03-19T00:00:00"/>
    <s v="Akofa Hounkpati"/>
    <x v="2"/>
    <x v="3"/>
    <n v="572.29999999999995"/>
    <x v="2"/>
    <n v="9"/>
    <n v="5150.68"/>
    <x v="0"/>
    <x v="0"/>
    <x v="1"/>
    <s v="OKEDU"/>
    <x v="6"/>
    <x v="1"/>
    <x v="1"/>
    <x v="0"/>
  </r>
  <r>
    <s v="T-100378"/>
    <d v="2025-01-03T00:00:00"/>
    <s v="Sena Agbo"/>
    <x v="3"/>
    <x v="3"/>
    <n v="76.11"/>
    <x v="10"/>
    <n v="19"/>
    <n v="1446"/>
    <x v="0"/>
    <x v="0"/>
    <x v="1"/>
    <s v="CHKEDU"/>
    <x v="3"/>
    <x v="4"/>
    <x v="0"/>
    <x v="1"/>
  </r>
  <r>
    <s v="T-100379"/>
    <d v="2024-08-18T00:00:00"/>
    <s v="Yawa Agbo"/>
    <x v="1"/>
    <x v="3"/>
    <n v="231.96"/>
    <x v="1"/>
    <n v="12"/>
    <n v="2783.46"/>
    <x v="0"/>
    <x v="0"/>
    <x v="4"/>
    <s v="CHKFMC"/>
    <x v="4"/>
    <x v="2"/>
    <x v="0"/>
    <x v="0"/>
  </r>
  <r>
    <s v="T-100380"/>
    <d v="2025-10-24T00:00:00"/>
    <s v="Afi Lawson"/>
    <x v="4"/>
    <x v="2"/>
    <n v="1038.3699999999999"/>
    <x v="14"/>
    <n v="1"/>
    <n v="1038.3699999999999"/>
    <x v="0"/>
    <x v="1"/>
    <x v="0"/>
    <s v="OKAGR"/>
    <x v="0"/>
    <x v="4"/>
    <x v="0"/>
    <x v="1"/>
  </r>
  <r>
    <s v="T-100381"/>
    <d v="2025-09-29T00:00:00"/>
    <s v="​Kodjo Hounkpati  "/>
    <x v="3"/>
    <x v="2"/>
    <n v="163.52000000000001"/>
    <x v="20"/>
    <n v="11"/>
    <n v="1798.74"/>
    <x v="0"/>
    <x v="0"/>
    <x v="1"/>
    <s v="OKEDU"/>
    <x v="2"/>
    <x v="3"/>
    <x v="0"/>
    <x v="1"/>
  </r>
  <r>
    <s v="T-100382"/>
    <d v="2024-05-30T00:00:00"/>
    <s v="Yawa Hounkpati"/>
    <x v="4"/>
    <x v="2"/>
    <n v="246.43"/>
    <x v="18"/>
    <n v="8"/>
    <n v="1971.4"/>
    <x v="2"/>
    <x v="1"/>
    <x v="4"/>
    <s v="CHKFMC"/>
    <x v="7"/>
    <x v="0"/>
    <x v="0"/>
    <x v="0"/>
  </r>
  <r>
    <s v="T-100383"/>
    <d v="2025-02-20T00:00:00"/>
    <s v="Sena Amouzou"/>
    <x v="2"/>
    <x v="3"/>
    <n v="107.78"/>
    <x v="2"/>
    <n v="11"/>
    <n v="1185.58"/>
    <x v="2"/>
    <x v="0"/>
    <x v="3"/>
    <s v="CHKTEL"/>
    <x v="8"/>
    <x v="0"/>
    <x v="0"/>
    <x v="1"/>
  </r>
  <r>
    <s v="T-100384"/>
    <d v="2025-10-19T00:00:00"/>
    <s v="Atsou Kossi"/>
    <x v="1"/>
    <x v="3"/>
    <n v="227.54"/>
    <x v="11"/>
    <n v="14"/>
    <n v="3185.58"/>
    <x v="0"/>
    <x v="0"/>
    <x v="1"/>
    <s v="OKEDU"/>
    <x v="0"/>
    <x v="2"/>
    <x v="0"/>
    <x v="1"/>
  </r>
  <r>
    <s v="T-100385"/>
    <d v="2025-05-02T00:00:00"/>
    <s v="Akofa Kpodo"/>
    <x v="1"/>
    <x v="0"/>
    <n v="54.74"/>
    <x v="9"/>
    <n v="19"/>
    <n v="1040"/>
    <x v="0"/>
    <x v="0"/>
    <x v="2"/>
    <s v="REVÉNE"/>
    <x v="7"/>
    <x v="4"/>
    <x v="0"/>
    <x v="1"/>
  </r>
  <r>
    <s v="T-100386"/>
    <d v="2024-11-18T00:00:00"/>
    <s v="Yawa Amouzou"/>
    <x v="0"/>
    <x v="4"/>
    <n v="603.98"/>
    <x v="5"/>
    <n v="6"/>
    <n v="3623.9"/>
    <x v="2"/>
    <x v="0"/>
    <x v="2"/>
    <s v="CHKÉNE"/>
    <x v="11"/>
    <x v="3"/>
    <x v="0"/>
    <x v="0"/>
  </r>
  <r>
    <s v="T-100387"/>
    <d v="2025-02-13T00:00:00"/>
    <s v="Kossi Hounkpati"/>
    <x v="3"/>
    <x v="0"/>
    <n v="105.92"/>
    <x v="17"/>
    <n v="15"/>
    <n v="1588.81"/>
    <x v="2"/>
    <x v="0"/>
    <x v="2"/>
    <s v="CHKÉNE"/>
    <x v="8"/>
    <x v="0"/>
    <x v="0"/>
    <x v="1"/>
  </r>
  <r>
    <s v="T-100388"/>
    <d v="2025-04-23T00:00:00"/>
    <s v="Elom Ayivi"/>
    <x v="3"/>
    <x v="3"/>
    <n v="136.51"/>
    <x v="3"/>
    <n v="9"/>
    <n v="1228.6199999999999"/>
    <x v="0"/>
    <x v="1"/>
    <x v="4"/>
    <s v="CHKFMC"/>
    <x v="1"/>
    <x v="5"/>
    <x v="0"/>
    <x v="1"/>
  </r>
  <r>
    <s v="T-100389"/>
    <d v="2025-03-11T00:00:00"/>
    <s v="Kodjo Lawson"/>
    <x v="0"/>
    <x v="3"/>
    <n v="264.05"/>
    <x v="5"/>
    <n v="11"/>
    <n v="2904.51"/>
    <x v="0"/>
    <x v="0"/>
    <x v="1"/>
    <s v="REVEDU"/>
    <x v="6"/>
    <x v="1"/>
    <x v="0"/>
    <x v="1"/>
  </r>
  <r>
    <s v="T-100390"/>
    <d v="2025-04-09T00:00:00"/>
    <s v="Akofa Kossi"/>
    <x v="4"/>
    <x v="2"/>
    <n v="59.15"/>
    <x v="12"/>
    <n v="61"/>
    <n v="3608.16"/>
    <x v="2"/>
    <x v="0"/>
    <x v="1"/>
    <s v="REVEDU"/>
    <x v="1"/>
    <x v="5"/>
    <x v="0"/>
    <x v="1"/>
  </r>
  <r>
    <s v="T-100391"/>
    <d v="2025-09-24T00:00:00"/>
    <s v="Sena Mensah"/>
    <x v="0"/>
    <x v="1"/>
    <n v="516.19000000000005"/>
    <x v="0"/>
    <n v="8"/>
    <n v="4129.5"/>
    <x v="1"/>
    <x v="0"/>
    <x v="4"/>
    <s v="OKFMC"/>
    <x v="2"/>
    <x v="5"/>
    <x v="1"/>
    <x v="1"/>
  </r>
  <r>
    <s v="T-100392"/>
    <d v="2024-06-28T00:00:00"/>
    <s v="Afi Kpodo"/>
    <x v="2"/>
    <x v="4"/>
    <n v="159.19"/>
    <x v="16"/>
    <n v="13"/>
    <n v="2069.4699999999998"/>
    <x v="0"/>
    <x v="0"/>
    <x v="3"/>
    <s v="OKTEL"/>
    <x v="10"/>
    <x v="4"/>
    <x v="0"/>
    <x v="0"/>
  </r>
  <r>
    <s v="T-100393"/>
    <d v="2024-05-05T00:00:00"/>
    <s v="Elom Kpodo"/>
    <x v="1"/>
    <x v="2"/>
    <n v="328.51"/>
    <x v="9"/>
    <n v="11"/>
    <n v="3613.63"/>
    <x v="0"/>
    <x v="0"/>
    <x v="1"/>
    <s v="CHKEDU"/>
    <x v="7"/>
    <x v="2"/>
    <x v="0"/>
    <x v="0"/>
  </r>
  <r>
    <s v="T-100394"/>
    <d v="2024-02-02T00:00:00"/>
    <s v="Client Unknown"/>
    <x v="2"/>
    <x v="4"/>
    <n v="84.73"/>
    <x v="7"/>
    <n v="13"/>
    <n v="1101.43"/>
    <x v="2"/>
    <x v="0"/>
    <x v="2"/>
    <s v="REVÉNE"/>
    <x v="8"/>
    <x v="4"/>
    <x v="0"/>
    <x v="0"/>
  </r>
  <r>
    <s v="T-100395"/>
    <d v="2025-05-05T00:00:00"/>
    <s v="Akofa Hounkpati"/>
    <x v="1"/>
    <x v="2"/>
    <n v="552.01"/>
    <x v="11"/>
    <n v="12"/>
    <n v="6624.12"/>
    <x v="1"/>
    <x v="0"/>
    <x v="2"/>
    <s v="OKÉNE"/>
    <x v="7"/>
    <x v="3"/>
    <x v="1"/>
    <x v="1"/>
  </r>
  <r>
    <s v="T-100396"/>
    <d v="2025-01-18T00:00:00"/>
    <s v="Mawuli Kpodo"/>
    <x v="4"/>
    <x v="1"/>
    <n v="169.59"/>
    <x v="14"/>
    <n v="11"/>
    <n v="1865.52"/>
    <x v="0"/>
    <x v="0"/>
    <x v="2"/>
    <s v="CHKÉNE"/>
    <x v="3"/>
    <x v="6"/>
    <x v="0"/>
    <x v="1"/>
  </r>
  <r>
    <s v="T-100397"/>
    <d v="2025-06-15T00:00:00"/>
    <s v="Kossi Kpodo"/>
    <x v="0"/>
    <x v="1"/>
    <n v="626.66"/>
    <x v="8"/>
    <n v="1"/>
    <n v="626.66"/>
    <x v="2"/>
    <x v="1"/>
    <x v="2"/>
    <s v="OKÉNE"/>
    <x v="10"/>
    <x v="2"/>
    <x v="0"/>
    <x v="1"/>
  </r>
  <r>
    <s v="T-100398"/>
    <d v="2024-08-08T00:00:00"/>
    <s v="​Kodjo Hounkpati  "/>
    <x v="4"/>
    <x v="0"/>
    <n v="32.869999999999997"/>
    <x v="18"/>
    <n v="15"/>
    <n v="493"/>
    <x v="0"/>
    <x v="0"/>
    <x v="4"/>
    <s v="CHKFMC"/>
    <x v="4"/>
    <x v="0"/>
    <x v="0"/>
    <x v="0"/>
  </r>
  <r>
    <s v="T-100399"/>
    <d v="2025-09-17T00:00:00"/>
    <s v="Mawuli Lawson"/>
    <x v="3"/>
    <x v="1"/>
    <n v="309.12"/>
    <x v="17"/>
    <n v="16"/>
    <n v="4946"/>
    <x v="0"/>
    <x v="0"/>
    <x v="1"/>
    <s v="OKEDU"/>
    <x v="2"/>
    <x v="5"/>
    <x v="1"/>
    <x v="1"/>
  </r>
  <r>
    <s v="T-100400"/>
    <d v="2025-07-17T00:00:00"/>
    <s v="Afi Mensah"/>
    <x v="4"/>
    <x v="0"/>
    <n v="208.67"/>
    <x v="18"/>
    <n v="15"/>
    <n v="3130.0499999999997"/>
    <x v="0"/>
    <x v="0"/>
    <x v="0"/>
    <s v="OKAGR"/>
    <x v="5"/>
    <x v="0"/>
    <x v="0"/>
    <x v="1"/>
  </r>
  <r>
    <s v="T-100401"/>
    <d v="2025-06-06T00:00:00"/>
    <s v="Kodjo Gbogbo"/>
    <x v="0"/>
    <x v="3"/>
    <n v="210.73"/>
    <x v="13"/>
    <n v="20"/>
    <n v="4214.63"/>
    <x v="0"/>
    <x v="0"/>
    <x v="2"/>
    <s v="OKÉNE"/>
    <x v="10"/>
    <x v="4"/>
    <x v="1"/>
    <x v="1"/>
  </r>
  <r>
    <s v="T-100402"/>
    <d v="2025-04-18T00:00:00"/>
    <s v="Atsou Mensah"/>
    <x v="3"/>
    <x v="4"/>
    <n v="65.930000000000007"/>
    <x v="15"/>
    <n v="14"/>
    <n v="922.97"/>
    <x v="1"/>
    <x v="0"/>
    <x v="3"/>
    <s v="OKTEL"/>
    <x v="1"/>
    <x v="4"/>
    <x v="0"/>
    <x v="1"/>
  </r>
  <r>
    <s v="T-100403"/>
    <d v="2024-02-15T00:00:00"/>
    <s v="Client Unknown"/>
    <x v="3"/>
    <x v="4"/>
    <n v="131.69999999999999"/>
    <x v="15"/>
    <n v="12"/>
    <n v="1580.45"/>
    <x v="2"/>
    <x v="0"/>
    <x v="0"/>
    <s v="OKAGR"/>
    <x v="8"/>
    <x v="0"/>
    <x v="0"/>
    <x v="0"/>
  </r>
  <r>
    <s v="T-100404"/>
    <d v="2025-08-08T00:00:00"/>
    <s v="Kossi Kpodo"/>
    <x v="0"/>
    <x v="4"/>
    <n v="238.53"/>
    <x v="0"/>
    <n v="15"/>
    <n v="3578"/>
    <x v="0"/>
    <x v="0"/>
    <x v="1"/>
    <s v="OKEDU"/>
    <x v="4"/>
    <x v="4"/>
    <x v="0"/>
    <x v="1"/>
  </r>
  <r>
    <s v="T-100405"/>
    <d v="2025-04-29T00:00:00"/>
    <s v="Elom Amouzou"/>
    <x v="4"/>
    <x v="2"/>
    <n v="192.8"/>
    <x v="6"/>
    <n v="10"/>
    <n v="1928"/>
    <x v="0"/>
    <x v="1"/>
    <x v="3"/>
    <s v="CHKTEL"/>
    <x v="1"/>
    <x v="1"/>
    <x v="0"/>
    <x v="1"/>
  </r>
  <r>
    <s v="T-100406"/>
    <d v="2025-05-27T00:00:00"/>
    <s v="Yawa Tete"/>
    <x v="1"/>
    <x v="1"/>
    <n v="70.63"/>
    <x v="9"/>
    <n v="13"/>
    <n v="918.25"/>
    <x v="2"/>
    <x v="0"/>
    <x v="4"/>
    <s v="OKFMC"/>
    <x v="7"/>
    <x v="1"/>
    <x v="0"/>
    <x v="1"/>
  </r>
  <r>
    <s v="T-100407"/>
    <d v="2025-10-06T00:00:00"/>
    <s v="Elom Ayivi"/>
    <x v="2"/>
    <x v="4"/>
    <n v="986.96"/>
    <x v="4"/>
    <n v="1"/>
    <n v="986.96"/>
    <x v="0"/>
    <x v="1"/>
    <x v="0"/>
    <s v="CHKAGR"/>
    <x v="0"/>
    <x v="3"/>
    <x v="0"/>
    <x v="1"/>
  </r>
  <r>
    <s v="T-100408"/>
    <d v="2025-02-25T00:00:00"/>
    <s v="Eyram Kossi"/>
    <x v="1"/>
    <x v="3"/>
    <n v="68.16"/>
    <x v="19"/>
    <n v="15"/>
    <n v="1022.44"/>
    <x v="0"/>
    <x v="0"/>
    <x v="2"/>
    <s v="CHKÉNE"/>
    <x v="8"/>
    <x v="1"/>
    <x v="0"/>
    <x v="1"/>
  </r>
  <r>
    <s v="T-100409"/>
    <d v="2024-10-23T00:00:00"/>
    <s v="Kodjo Ayivi"/>
    <x v="3"/>
    <x v="1"/>
    <n v="87.47"/>
    <x v="10"/>
    <n v="11"/>
    <n v="962.13"/>
    <x v="2"/>
    <x v="0"/>
    <x v="1"/>
    <s v="CHKEDU"/>
    <x v="0"/>
    <x v="5"/>
    <x v="0"/>
    <x v="0"/>
  </r>
  <r>
    <s v="T-100410"/>
    <d v="2024-12-30T00:00:00"/>
    <s v="Akofa Ayivi"/>
    <x v="1"/>
    <x v="4"/>
    <n v="77.25"/>
    <x v="1"/>
    <n v="11"/>
    <n v="166.2715"/>
    <x v="2"/>
    <x v="0"/>
    <x v="1"/>
    <s v="OKEDU"/>
    <x v="9"/>
    <x v="3"/>
    <x v="0"/>
    <x v="0"/>
  </r>
  <r>
    <s v="T-100411"/>
    <d v="2025-02-06T00:00:00"/>
    <s v="Afi Amouzou"/>
    <x v="0"/>
    <x v="2"/>
    <n v="758"/>
    <x v="13"/>
    <n v="1"/>
    <n v="758"/>
    <x v="0"/>
    <x v="1"/>
    <x v="1"/>
    <s v="REVEDU"/>
    <x v="8"/>
    <x v="0"/>
    <x v="0"/>
    <x v="1"/>
  </r>
  <r>
    <s v="T-100412"/>
    <d v="2025-05-11T00:00:00"/>
    <s v="Afi Amouzou"/>
    <x v="2"/>
    <x v="2"/>
    <n v="73.03"/>
    <x v="16"/>
    <n v="15"/>
    <n v="166.2715"/>
    <x v="2"/>
    <x v="0"/>
    <x v="1"/>
    <s v="OKEDU"/>
    <x v="7"/>
    <x v="2"/>
    <x v="0"/>
    <x v="1"/>
  </r>
  <r>
    <s v="T-100413"/>
    <d v="2025-02-09T00:00:00"/>
    <s v="Eyram Mensah"/>
    <x v="0"/>
    <x v="0"/>
    <n v="48.43"/>
    <x v="5"/>
    <n v="19"/>
    <n v="920.25"/>
    <x v="0"/>
    <x v="0"/>
    <x v="2"/>
    <s v="REVÉNE"/>
    <x v="8"/>
    <x v="2"/>
    <x v="0"/>
    <x v="1"/>
  </r>
  <r>
    <s v="T-100414"/>
    <d v="2024-05-21T00:00:00"/>
    <s v="Client Unknown"/>
    <x v="3"/>
    <x v="2"/>
    <n v="105.43"/>
    <x v="10"/>
    <n v="14"/>
    <n v="1476"/>
    <x v="0"/>
    <x v="0"/>
    <x v="1"/>
    <s v="CHKEDU"/>
    <x v="7"/>
    <x v="1"/>
    <x v="0"/>
    <x v="0"/>
  </r>
  <r>
    <s v="T-100415"/>
    <d v="2024-06-12T00:00:00"/>
    <s v="Atsou Ayivi"/>
    <x v="1"/>
    <x v="3"/>
    <n v="164.77"/>
    <x v="1"/>
    <n v="13"/>
    <n v="2142"/>
    <x v="0"/>
    <x v="0"/>
    <x v="1"/>
    <s v="REVEDU"/>
    <x v="10"/>
    <x v="5"/>
    <x v="0"/>
    <x v="0"/>
  </r>
  <r>
    <s v="T-100416"/>
    <d v="2025-04-12T00:00:00"/>
    <s v="Sena Kpodo"/>
    <x v="4"/>
    <x v="1"/>
    <n v="344.61"/>
    <x v="14"/>
    <n v="8"/>
    <n v="2756.87"/>
    <x v="2"/>
    <x v="1"/>
    <x v="4"/>
    <s v="CHKFMC"/>
    <x v="1"/>
    <x v="6"/>
    <x v="0"/>
    <x v="1"/>
  </r>
  <r>
    <s v="T-100417"/>
    <d v="2025-10-11T00:00:00"/>
    <s v="​Kossi Lawson  "/>
    <x v="1"/>
    <x v="1"/>
    <n v="161.31"/>
    <x v="1"/>
    <n v="12"/>
    <n v="1935.72"/>
    <x v="2"/>
    <x v="0"/>
    <x v="1"/>
    <s v="CHKEDU"/>
    <x v="0"/>
    <x v="6"/>
    <x v="0"/>
    <x v="1"/>
  </r>
  <r>
    <s v="T-100418"/>
    <d v="2024-12-23T00:00:00"/>
    <s v="Sena Tete"/>
    <x v="2"/>
    <x v="1"/>
    <n v="127"/>
    <x v="7"/>
    <n v="16"/>
    <n v="2032.08"/>
    <x v="2"/>
    <x v="0"/>
    <x v="1"/>
    <s v="REVEDU"/>
    <x v="9"/>
    <x v="3"/>
    <x v="0"/>
    <x v="0"/>
  </r>
  <r>
    <s v="T-100419"/>
    <d v="2024-12-02T00:00:00"/>
    <s v="Elom Amouzou"/>
    <x v="4"/>
    <x v="4"/>
    <n v="106.38"/>
    <x v="18"/>
    <n v="17"/>
    <n v="1808.43"/>
    <x v="0"/>
    <x v="0"/>
    <x v="1"/>
    <s v="OKEDU"/>
    <x v="9"/>
    <x v="3"/>
    <x v="0"/>
    <x v="0"/>
  </r>
  <r>
    <s v="T-100420"/>
    <d v="2024-09-22T00:00:00"/>
    <s v="Kodjo Ayivi"/>
    <x v="3"/>
    <x v="2"/>
    <n v="138.19999999999999"/>
    <x v="10"/>
    <n v="9"/>
    <n v="1243.76"/>
    <x v="1"/>
    <x v="1"/>
    <x v="4"/>
    <s v="CHKFMC"/>
    <x v="2"/>
    <x v="2"/>
    <x v="0"/>
    <x v="0"/>
  </r>
  <r>
    <s v="T-100421"/>
    <d v="2025-06-19T00:00:00"/>
    <s v="Sena Hounkpati"/>
    <x v="4"/>
    <x v="1"/>
    <n v="201.69"/>
    <x v="18"/>
    <n v="8"/>
    <n v="1613.54"/>
    <x v="0"/>
    <x v="1"/>
    <x v="0"/>
    <s v="REVAGR"/>
    <x v="10"/>
    <x v="0"/>
    <x v="0"/>
    <x v="1"/>
  </r>
  <r>
    <s v="T-100422"/>
    <d v="2025-08-15T00:00:00"/>
    <s v="Atsou Tete"/>
    <x v="0"/>
    <x v="2"/>
    <n v="345.8"/>
    <x v="5"/>
    <n v="9"/>
    <n v="3112.16"/>
    <x v="2"/>
    <x v="0"/>
    <x v="3"/>
    <s v="CHKTEL"/>
    <x v="4"/>
    <x v="4"/>
    <x v="0"/>
    <x v="1"/>
  </r>
  <r>
    <s v="T-100423"/>
    <d v="2024-04-22T00:00:00"/>
    <s v="Afi Mensah"/>
    <x v="0"/>
    <x v="4"/>
    <n v="52.85"/>
    <x v="8"/>
    <n v="15"/>
    <n v="792.82"/>
    <x v="2"/>
    <x v="0"/>
    <x v="4"/>
    <s v="CHKFMC"/>
    <x v="1"/>
    <x v="3"/>
    <x v="0"/>
    <x v="0"/>
  </r>
  <r>
    <s v="T-100424"/>
    <d v="2025-04-03T00:00:00"/>
    <s v="Afi Lawson"/>
    <x v="3"/>
    <x v="4"/>
    <n v="383.56"/>
    <x v="3"/>
    <n v="10"/>
    <n v="3835.56"/>
    <x v="0"/>
    <x v="0"/>
    <x v="1"/>
    <s v="REVEDU"/>
    <x v="1"/>
    <x v="0"/>
    <x v="0"/>
    <x v="1"/>
  </r>
  <r>
    <s v="T-100425"/>
    <d v="2025-04-13T00:00:00"/>
    <s v="Mawuli Kpodo"/>
    <x v="4"/>
    <x v="1"/>
    <n v="1247.8800000000001"/>
    <x v="6"/>
    <n v="1"/>
    <n v="1247.8800000000001"/>
    <x v="1"/>
    <x v="1"/>
    <x v="4"/>
    <s v="OKFMC"/>
    <x v="1"/>
    <x v="2"/>
    <x v="0"/>
    <x v="1"/>
  </r>
  <r>
    <s v="T-100426"/>
    <d v="2025-03-24T00:00:00"/>
    <s v="Kossi Kpodo"/>
    <x v="4"/>
    <x v="0"/>
    <n v="54.02"/>
    <x v="6"/>
    <n v="17"/>
    <n v="918.26"/>
    <x v="0"/>
    <x v="0"/>
    <x v="0"/>
    <s v="CHKAGR"/>
    <x v="6"/>
    <x v="3"/>
    <x v="0"/>
    <x v="1"/>
  </r>
  <r>
    <s v="T-100427"/>
    <d v="2024-02-18T00:00:00"/>
    <s v="Mawuli Agbo"/>
    <x v="3"/>
    <x v="3"/>
    <n v="78.36"/>
    <x v="10"/>
    <n v="10"/>
    <n v="783.65"/>
    <x v="2"/>
    <x v="1"/>
    <x v="3"/>
    <s v="REVTEL"/>
    <x v="8"/>
    <x v="2"/>
    <x v="0"/>
    <x v="0"/>
  </r>
  <r>
    <s v="T-100428"/>
    <d v="2025-04-17T00:00:00"/>
    <s v="Client Unknown"/>
    <x v="2"/>
    <x v="4"/>
    <n v="356.8"/>
    <x v="16"/>
    <n v="14"/>
    <n v="4995.2"/>
    <x v="0"/>
    <x v="0"/>
    <x v="1"/>
    <s v="CHKEDU"/>
    <x v="1"/>
    <x v="0"/>
    <x v="1"/>
    <x v="1"/>
  </r>
  <r>
    <s v="T-100429"/>
    <d v="2024-07-19T00:00:00"/>
    <s v="Eyram Tete"/>
    <x v="0"/>
    <x v="3"/>
    <n v="502.43"/>
    <x v="13"/>
    <n v="10"/>
    <n v="5024.33"/>
    <x v="1"/>
    <x v="0"/>
    <x v="3"/>
    <s v="CHKTEL"/>
    <x v="5"/>
    <x v="4"/>
    <x v="1"/>
    <x v="0"/>
  </r>
  <r>
    <s v="T-100430"/>
    <d v="2025-09-29T00:00:00"/>
    <s v="elom hounkpati"/>
    <x v="2"/>
    <x v="4"/>
    <n v="113.54"/>
    <x v="2"/>
    <n v="15"/>
    <n v="1703.09"/>
    <x v="1"/>
    <x v="0"/>
    <x v="0"/>
    <s v="CHKAGR"/>
    <x v="2"/>
    <x v="3"/>
    <x v="0"/>
    <x v="1"/>
  </r>
  <r>
    <s v="T-100431"/>
    <d v="2024-03-15T00:00:00"/>
    <s v="Akofa Hounkpati"/>
    <x v="4"/>
    <x v="2"/>
    <n v="277.58"/>
    <x v="12"/>
    <n v="12"/>
    <n v="3331"/>
    <x v="0"/>
    <x v="0"/>
    <x v="0"/>
    <s v="CHKAGR"/>
    <x v="6"/>
    <x v="4"/>
    <x v="0"/>
    <x v="0"/>
  </r>
  <r>
    <s v="T-100432"/>
    <d v="2024-04-03T00:00:00"/>
    <s v="Yawa Agbo"/>
    <x v="4"/>
    <x v="1"/>
    <n v="139.86000000000001"/>
    <x v="14"/>
    <n v="17"/>
    <n v="2377.67"/>
    <x v="0"/>
    <x v="0"/>
    <x v="4"/>
    <s v="REVFMC"/>
    <x v="1"/>
    <x v="5"/>
    <x v="0"/>
    <x v="0"/>
  </r>
  <r>
    <s v="T-100433"/>
    <d v="2024-11-14T00:00:00"/>
    <s v="Sena Gbogbo"/>
    <x v="3"/>
    <x v="4"/>
    <n v="115.73"/>
    <x v="15"/>
    <n v="11"/>
    <n v="1273"/>
    <x v="2"/>
    <x v="0"/>
    <x v="4"/>
    <s v="CHKFMC"/>
    <x v="11"/>
    <x v="0"/>
    <x v="0"/>
    <x v="0"/>
  </r>
  <r>
    <s v="T-100434"/>
    <d v="2025-03-01T00:00:00"/>
    <s v="Afi Amouzou"/>
    <x v="3"/>
    <x v="2"/>
    <n v="190.79"/>
    <x v="17"/>
    <n v="17"/>
    <n v="3243.39"/>
    <x v="2"/>
    <x v="0"/>
    <x v="2"/>
    <s v="REVÉNE"/>
    <x v="6"/>
    <x v="6"/>
    <x v="0"/>
    <x v="1"/>
  </r>
  <r>
    <s v="T-100435"/>
    <d v="2024-10-31T00:00:00"/>
    <s v="Mawuli Kossi"/>
    <x v="1"/>
    <x v="0"/>
    <n v="149.11000000000001"/>
    <x v="9"/>
    <n v="9"/>
    <n v="1342"/>
    <x v="0"/>
    <x v="1"/>
    <x v="3"/>
    <s v="REVTEL"/>
    <x v="0"/>
    <x v="0"/>
    <x v="0"/>
    <x v="0"/>
  </r>
  <r>
    <s v="T-100436"/>
    <d v="2025-01-13T00:00:00"/>
    <s v="Yawa Amouzou"/>
    <x v="1"/>
    <x v="3"/>
    <n v="90.68"/>
    <x v="1"/>
    <n v="15"/>
    <n v="1360.23"/>
    <x v="2"/>
    <x v="0"/>
    <x v="1"/>
    <s v="CHKEDU"/>
    <x v="3"/>
    <x v="3"/>
    <x v="0"/>
    <x v="1"/>
  </r>
  <r>
    <s v="T-100437"/>
    <d v="2024-08-16T00:00:00"/>
    <s v="Afi Tete"/>
    <x v="2"/>
    <x v="0"/>
    <n v="139.36000000000001"/>
    <x v="4"/>
    <n v="9"/>
    <n v="1254.21"/>
    <x v="0"/>
    <x v="1"/>
    <x v="4"/>
    <s v="OKFMC"/>
    <x v="4"/>
    <x v="4"/>
    <x v="0"/>
    <x v="0"/>
  </r>
  <r>
    <s v="T-100438"/>
    <d v="2025-08-11T00:00:00"/>
    <s v="Sena Hounkpati"/>
    <x v="1"/>
    <x v="3"/>
    <n v="84.47"/>
    <x v="1"/>
    <n v="13"/>
    <n v="1098.1500000000001"/>
    <x v="0"/>
    <x v="0"/>
    <x v="0"/>
    <s v="OKAGR"/>
    <x v="4"/>
    <x v="3"/>
    <x v="0"/>
    <x v="1"/>
  </r>
  <r>
    <s v="T-100439"/>
    <d v="2024-10-04T00:00:00"/>
    <s v="elom gbogbo"/>
    <x v="4"/>
    <x v="0"/>
    <n v="312.23"/>
    <x v="12"/>
    <n v="6"/>
    <n v="1873.36"/>
    <x v="2"/>
    <x v="1"/>
    <x v="2"/>
    <s v="OKÉNE"/>
    <x v="0"/>
    <x v="4"/>
    <x v="0"/>
    <x v="0"/>
  </r>
  <r>
    <s v="T-100440"/>
    <d v="2025-01-22T00:00:00"/>
    <s v="​Eyram Kossi  "/>
    <x v="4"/>
    <x v="0"/>
    <n v="77.23"/>
    <x v="14"/>
    <n v="9"/>
    <n v="13174.279999999999"/>
    <x v="0"/>
    <x v="0"/>
    <x v="4"/>
    <s v="REVFMC"/>
    <x v="3"/>
    <x v="5"/>
    <x v="1"/>
    <x v="1"/>
  </r>
  <r>
    <s v="T-100441"/>
    <d v="2025-09-26T00:00:00"/>
    <s v="Elom Hounkpati"/>
    <x v="0"/>
    <x v="3"/>
    <n v="122.36"/>
    <x v="13"/>
    <n v="17"/>
    <n v="2080.1"/>
    <x v="0"/>
    <x v="0"/>
    <x v="4"/>
    <s v="CHKFMC"/>
    <x v="2"/>
    <x v="4"/>
    <x v="0"/>
    <x v="1"/>
  </r>
  <r>
    <s v="T-100442"/>
    <d v="2024-06-25T00:00:00"/>
    <s v="Elom Kossi"/>
    <x v="4"/>
    <x v="3"/>
    <n v="122.78"/>
    <x v="12"/>
    <n v="9"/>
    <n v="1105.03"/>
    <x v="0"/>
    <x v="1"/>
    <x v="1"/>
    <s v="REVEDU"/>
    <x v="10"/>
    <x v="1"/>
    <x v="0"/>
    <x v="0"/>
  </r>
  <r>
    <s v="T-100443"/>
    <d v="2025-02-09T00:00:00"/>
    <s v="Eyram Gbogbo"/>
    <x v="3"/>
    <x v="3"/>
    <n v="34.270000000000003"/>
    <x v="10"/>
    <n v="68"/>
    <n v="2330.0700000000002"/>
    <x v="1"/>
    <x v="0"/>
    <x v="3"/>
    <s v="OKTEL"/>
    <x v="8"/>
    <x v="2"/>
    <x v="0"/>
    <x v="1"/>
  </r>
  <r>
    <s v="T-100444"/>
    <d v="2025-07-25T00:00:00"/>
    <s v="Kodjo Kpodo"/>
    <x v="3"/>
    <x v="0"/>
    <n v="88.38"/>
    <x v="10"/>
    <n v="15"/>
    <n v="1325.64"/>
    <x v="0"/>
    <x v="0"/>
    <x v="4"/>
    <s v="CHKFMC"/>
    <x v="5"/>
    <x v="4"/>
    <x v="0"/>
    <x v="1"/>
  </r>
  <r>
    <s v="T-100445"/>
    <d v="2025-06-29T00:00:00"/>
    <s v="Kossi Kossi"/>
    <x v="4"/>
    <x v="3"/>
    <n v="38.79"/>
    <x v="14"/>
    <n v="17"/>
    <n v="659.4"/>
    <x v="0"/>
    <x v="0"/>
    <x v="2"/>
    <s v="OKÉNE"/>
    <x v="10"/>
    <x v="2"/>
    <x v="0"/>
    <x v="1"/>
  </r>
  <r>
    <s v="T-100446"/>
    <d v="2024-08-06T00:00:00"/>
    <s v="Eyram Gbogbo"/>
    <x v="3"/>
    <x v="0"/>
    <n v="82.13"/>
    <x v="10"/>
    <n v="10"/>
    <n v="821.27"/>
    <x v="0"/>
    <x v="1"/>
    <x v="1"/>
    <s v="CHKEDU"/>
    <x v="4"/>
    <x v="1"/>
    <x v="0"/>
    <x v="0"/>
  </r>
  <r>
    <s v="T-100447"/>
    <d v="2024-07-07T00:00:00"/>
    <s v="Mawuli Amouzou"/>
    <x v="1"/>
    <x v="0"/>
    <n v="198.94"/>
    <x v="11"/>
    <n v="12"/>
    <n v="2387.3200000000002"/>
    <x v="0"/>
    <x v="0"/>
    <x v="3"/>
    <s v="REVTEL"/>
    <x v="5"/>
    <x v="2"/>
    <x v="0"/>
    <x v="0"/>
  </r>
  <r>
    <s v="T-100448"/>
    <d v="2024-06-16T00:00:00"/>
    <s v="Mawuli Kossi"/>
    <x v="2"/>
    <x v="4"/>
    <n v="527.77"/>
    <x v="2"/>
    <n v="5"/>
    <n v="2638.85"/>
    <x v="2"/>
    <x v="1"/>
    <x v="2"/>
    <s v="REVÉNE"/>
    <x v="10"/>
    <x v="2"/>
    <x v="0"/>
    <x v="0"/>
  </r>
  <r>
    <s v="T-100449"/>
    <d v="2024-06-02T00:00:00"/>
    <s v="Kodjo Ayivi"/>
    <x v="0"/>
    <x v="3"/>
    <n v="76.5"/>
    <x v="8"/>
    <n v="20"/>
    <n v="1530"/>
    <x v="0"/>
    <x v="0"/>
    <x v="1"/>
    <s v="OKEDU"/>
    <x v="10"/>
    <x v="2"/>
    <x v="0"/>
    <x v="0"/>
  </r>
  <r>
    <s v="T-100450"/>
    <d v="2024-09-24T00:00:00"/>
    <s v="Yawa Amouzou"/>
    <x v="0"/>
    <x v="0"/>
    <n v="68.569999999999993"/>
    <x v="8"/>
    <n v="26"/>
    <n v="1782.86"/>
    <x v="0"/>
    <x v="0"/>
    <x v="1"/>
    <s v="CHKEDU"/>
    <x v="2"/>
    <x v="1"/>
    <x v="0"/>
    <x v="0"/>
  </r>
  <r>
    <s v="T-100451"/>
    <d v="2024-04-09T00:00:00"/>
    <s v="Yawa Ayivi"/>
    <x v="3"/>
    <x v="2"/>
    <n v="85.99"/>
    <x v="15"/>
    <n v="11"/>
    <n v="945.87"/>
    <x v="0"/>
    <x v="0"/>
    <x v="4"/>
    <s v="CHKFMC"/>
    <x v="1"/>
    <x v="1"/>
    <x v="0"/>
    <x v="0"/>
  </r>
  <r>
    <s v="T-100452"/>
    <d v="2024-07-23T00:00:00"/>
    <s v="Elom Lawson"/>
    <x v="4"/>
    <x v="0"/>
    <n v="536.86"/>
    <x v="14"/>
    <n v="7"/>
    <n v="3758.04"/>
    <x v="0"/>
    <x v="0"/>
    <x v="2"/>
    <s v="REVÉNE"/>
    <x v="5"/>
    <x v="1"/>
    <x v="0"/>
    <x v="0"/>
  </r>
  <r>
    <s v="T-100453"/>
    <d v="2024-05-19T00:00:00"/>
    <s v="Elom Gbogbo"/>
    <x v="1"/>
    <x v="2"/>
    <n v="135.61000000000001"/>
    <x v="1"/>
    <n v="6"/>
    <n v="813.67"/>
    <x v="2"/>
    <x v="1"/>
    <x v="3"/>
    <s v="REVTEL"/>
    <x v="7"/>
    <x v="2"/>
    <x v="0"/>
    <x v="0"/>
  </r>
  <r>
    <s v="T-100454"/>
    <d v="2025-03-03T00:00:00"/>
    <s v="Atsou Agbo"/>
    <x v="4"/>
    <x v="4"/>
    <n v="2488.09"/>
    <x v="12"/>
    <n v="1"/>
    <n v="2488.09"/>
    <x v="0"/>
    <x v="1"/>
    <x v="4"/>
    <s v="CHKFMC"/>
    <x v="6"/>
    <x v="3"/>
    <x v="0"/>
    <x v="1"/>
  </r>
  <r>
    <s v="T-100455"/>
    <d v="2024-05-25T00:00:00"/>
    <s v="Kossi Hounkpati"/>
    <x v="0"/>
    <x v="2"/>
    <n v="231.02"/>
    <x v="13"/>
    <n v="7"/>
    <n v="1617.15"/>
    <x v="2"/>
    <x v="1"/>
    <x v="0"/>
    <s v="CHKAGR"/>
    <x v="7"/>
    <x v="6"/>
    <x v="0"/>
    <x v="0"/>
  </r>
  <r>
    <s v="T-100456"/>
    <d v="2024-04-29T00:00:00"/>
    <s v="Client Unknown"/>
    <x v="1"/>
    <x v="0"/>
    <n v="80.540000000000006"/>
    <x v="1"/>
    <n v="13"/>
    <n v="1047.01"/>
    <x v="2"/>
    <x v="0"/>
    <x v="0"/>
    <s v="REVAGR"/>
    <x v="1"/>
    <x v="3"/>
    <x v="0"/>
    <x v="0"/>
  </r>
  <r>
    <s v="T-100457"/>
    <d v="2024-05-26T00:00:00"/>
    <s v="Sena Hounkpati"/>
    <x v="2"/>
    <x v="0"/>
    <n v="99.33"/>
    <x v="16"/>
    <n v="15"/>
    <n v="1490"/>
    <x v="0"/>
    <x v="0"/>
    <x v="3"/>
    <s v="CHKTEL"/>
    <x v="7"/>
    <x v="2"/>
    <x v="0"/>
    <x v="0"/>
  </r>
  <r>
    <s v="T-100458"/>
    <d v="2025-10-07T00:00:00"/>
    <s v="Client Unknown"/>
    <x v="0"/>
    <x v="0"/>
    <n v="362.55"/>
    <x v="0"/>
    <n v="8"/>
    <n v="2900.36"/>
    <x v="2"/>
    <x v="1"/>
    <x v="2"/>
    <s v="OKÉNE"/>
    <x v="0"/>
    <x v="1"/>
    <x v="0"/>
    <x v="1"/>
  </r>
  <r>
    <s v="T-100459"/>
    <d v="2025-01-11T00:00:00"/>
    <s v="Kodjo Hounkpati"/>
    <x v="3"/>
    <x v="1"/>
    <n v="167.88"/>
    <x v="3"/>
    <n v="8"/>
    <n v="1343"/>
    <x v="1"/>
    <x v="1"/>
    <x v="1"/>
    <s v="REVEDU"/>
    <x v="3"/>
    <x v="6"/>
    <x v="0"/>
    <x v="1"/>
  </r>
  <r>
    <s v="T-100460"/>
    <d v="2024-06-07T00:00:00"/>
    <s v="Yawa Hounkpati"/>
    <x v="1"/>
    <x v="0"/>
    <n v="117.24"/>
    <x v="11"/>
    <n v="11"/>
    <n v="1289.6099999999999"/>
    <x v="1"/>
    <x v="0"/>
    <x v="2"/>
    <s v="REVÉNE"/>
    <x v="10"/>
    <x v="4"/>
    <x v="0"/>
    <x v="0"/>
  </r>
  <r>
    <s v="T-100461"/>
    <d v="2025-05-25T00:00:00"/>
    <s v="Mawuli Agbo"/>
    <x v="3"/>
    <x v="2"/>
    <n v="155.74"/>
    <x v="20"/>
    <n v="18"/>
    <n v="2803.32"/>
    <x v="1"/>
    <x v="0"/>
    <x v="4"/>
    <s v="CHKFMC"/>
    <x v="7"/>
    <x v="2"/>
    <x v="0"/>
    <x v="1"/>
  </r>
  <r>
    <s v="T-100462"/>
    <d v="2025-10-30T00:00:00"/>
    <s v="Afi Gbogbo"/>
    <x v="0"/>
    <x v="0"/>
    <n v="63.71"/>
    <x v="5"/>
    <n v="21"/>
    <n v="1337.91"/>
    <x v="1"/>
    <x v="0"/>
    <x v="1"/>
    <s v="OKEDU"/>
    <x v="0"/>
    <x v="0"/>
    <x v="0"/>
    <x v="1"/>
  </r>
  <r>
    <s v="T-100463"/>
    <d v="2025-09-13T00:00:00"/>
    <s v="Sena Amouzou"/>
    <x v="3"/>
    <x v="3"/>
    <n v="94.71"/>
    <x v="3"/>
    <n v="16"/>
    <n v="1515.39"/>
    <x v="0"/>
    <x v="0"/>
    <x v="1"/>
    <s v="REVEDU"/>
    <x v="2"/>
    <x v="6"/>
    <x v="0"/>
    <x v="1"/>
  </r>
  <r>
    <s v="T-100464"/>
    <d v="2025-08-05T00:00:00"/>
    <s v="Afi Amouzou"/>
    <x v="0"/>
    <x v="1"/>
    <n v="160.91999999999999"/>
    <x v="8"/>
    <n v="13"/>
    <n v="2092"/>
    <x v="0"/>
    <x v="0"/>
    <x v="1"/>
    <s v="CHKEDU"/>
    <x v="4"/>
    <x v="1"/>
    <x v="0"/>
    <x v="1"/>
  </r>
  <r>
    <s v="T-100465"/>
    <d v="2024-02-19T00:00:00"/>
    <s v="Yawa Amouzou"/>
    <x v="0"/>
    <x v="4"/>
    <n v="110.17"/>
    <x v="8"/>
    <n v="12"/>
    <n v="1322"/>
    <x v="0"/>
    <x v="0"/>
    <x v="1"/>
    <s v="OKEDU"/>
    <x v="8"/>
    <x v="3"/>
    <x v="0"/>
    <x v="0"/>
  </r>
  <r>
    <s v="T-100466"/>
    <d v="2024-09-02T00:00:00"/>
    <s v="Sena Mensah"/>
    <x v="0"/>
    <x v="1"/>
    <n v="45.78"/>
    <x v="5"/>
    <n v="16"/>
    <n v="732.44"/>
    <x v="0"/>
    <x v="0"/>
    <x v="3"/>
    <s v="CHKTEL"/>
    <x v="2"/>
    <x v="3"/>
    <x v="0"/>
    <x v="0"/>
  </r>
  <r>
    <s v="T-100467"/>
    <d v="2025-06-01T00:00:00"/>
    <s v="​Afi Lawson  "/>
    <x v="0"/>
    <x v="1"/>
    <n v="134.59"/>
    <x v="13"/>
    <n v="14"/>
    <n v="1884.19"/>
    <x v="0"/>
    <x v="0"/>
    <x v="0"/>
    <s v="OKAGR"/>
    <x v="10"/>
    <x v="2"/>
    <x v="0"/>
    <x v="1"/>
  </r>
  <r>
    <s v="T-100468"/>
    <d v="2024-12-20T00:00:00"/>
    <s v="Elom Mensah"/>
    <x v="4"/>
    <x v="0"/>
    <n v="189.24"/>
    <x v="6"/>
    <n v="11"/>
    <n v="2081.69"/>
    <x v="2"/>
    <x v="0"/>
    <x v="4"/>
    <s v="CHKFMC"/>
    <x v="9"/>
    <x v="4"/>
    <x v="0"/>
    <x v="0"/>
  </r>
  <r>
    <s v="T-100469"/>
    <d v="2025-10-28T00:00:00"/>
    <s v="Akofa Amouzou"/>
    <x v="4"/>
    <x v="3"/>
    <n v="180.87"/>
    <x v="18"/>
    <n v="12"/>
    <n v="2170.42"/>
    <x v="2"/>
    <x v="0"/>
    <x v="0"/>
    <s v="OKAGR"/>
    <x v="0"/>
    <x v="1"/>
    <x v="0"/>
    <x v="1"/>
  </r>
  <r>
    <s v="T-100470"/>
    <d v="2025-02-15T00:00:00"/>
    <s v="Atsou Mensah"/>
    <x v="3"/>
    <x v="0"/>
    <n v="124.11"/>
    <x v="10"/>
    <n v="8"/>
    <n v="992.89"/>
    <x v="0"/>
    <x v="1"/>
    <x v="2"/>
    <s v="CHKÉNE"/>
    <x v="8"/>
    <x v="6"/>
    <x v="0"/>
    <x v="1"/>
  </r>
  <r>
    <s v="T-100471"/>
    <d v="2024-09-27T00:00:00"/>
    <s v="Kodjo Lawson"/>
    <x v="4"/>
    <x v="4"/>
    <n v="178.26"/>
    <x v="12"/>
    <n v="11"/>
    <n v="1960.86"/>
    <x v="2"/>
    <x v="0"/>
    <x v="0"/>
    <s v="OKAGR"/>
    <x v="2"/>
    <x v="4"/>
    <x v="0"/>
    <x v="0"/>
  </r>
  <r>
    <s v="T-100472"/>
    <d v="2025-09-17T00:00:00"/>
    <s v="​Eyram Kpodo  "/>
    <x v="4"/>
    <x v="2"/>
    <n v="26.92"/>
    <x v="18"/>
    <n v="19"/>
    <n v="511.43"/>
    <x v="0"/>
    <x v="0"/>
    <x v="2"/>
    <s v="OKÉNE"/>
    <x v="2"/>
    <x v="5"/>
    <x v="0"/>
    <x v="1"/>
  </r>
  <r>
    <s v="T-100473"/>
    <d v="2025-05-26T00:00:00"/>
    <s v="Kodjo Amouzou"/>
    <x v="1"/>
    <x v="0"/>
    <n v="191.85"/>
    <x v="11"/>
    <n v="7"/>
    <n v="1342.95"/>
    <x v="0"/>
    <x v="1"/>
    <x v="0"/>
    <s v="CHKAGR"/>
    <x v="7"/>
    <x v="3"/>
    <x v="0"/>
    <x v="1"/>
  </r>
  <r>
    <s v="T-100474"/>
    <d v="2024-07-22T00:00:00"/>
    <s v="Elom Kpodo"/>
    <x v="1"/>
    <x v="2"/>
    <n v="434.35"/>
    <x v="19"/>
    <n v="6"/>
    <n v="2606.0700000000002"/>
    <x v="0"/>
    <x v="1"/>
    <x v="4"/>
    <s v="OKFMC"/>
    <x v="5"/>
    <x v="3"/>
    <x v="0"/>
    <x v="0"/>
  </r>
  <r>
    <s v="T-100475"/>
    <d v="2025-10-04T00:00:00"/>
    <s v="​Kodjo Tete  "/>
    <x v="2"/>
    <x v="2"/>
    <n v="161.51"/>
    <x v="2"/>
    <n v="14"/>
    <n v="2261.08"/>
    <x v="0"/>
    <x v="0"/>
    <x v="4"/>
    <s v="OKFMC"/>
    <x v="0"/>
    <x v="6"/>
    <x v="0"/>
    <x v="1"/>
  </r>
  <r>
    <s v="T-100476"/>
    <d v="2024-11-02T00:00:00"/>
    <s v="Kossi Mensah"/>
    <x v="3"/>
    <x v="1"/>
    <n v="70.63"/>
    <x v="10"/>
    <n v="19"/>
    <n v="1342"/>
    <x v="2"/>
    <x v="0"/>
    <x v="2"/>
    <s v="CHKÉNE"/>
    <x v="11"/>
    <x v="6"/>
    <x v="0"/>
    <x v="0"/>
  </r>
  <r>
    <s v="T-100477"/>
    <d v="2025-07-09T00:00:00"/>
    <s v="Eyram Ayivi"/>
    <x v="2"/>
    <x v="4"/>
    <n v="96.08"/>
    <x v="2"/>
    <n v="22"/>
    <n v="2113.8200000000002"/>
    <x v="0"/>
    <x v="0"/>
    <x v="1"/>
    <s v="REVEDU"/>
    <x v="5"/>
    <x v="5"/>
    <x v="0"/>
    <x v="1"/>
  </r>
  <r>
    <s v="T-100478"/>
    <d v="2024-06-08T00:00:00"/>
    <s v="Sena Tete"/>
    <x v="3"/>
    <x v="2"/>
    <n v="74.23"/>
    <x v="17"/>
    <n v="18"/>
    <n v="1336.23"/>
    <x v="0"/>
    <x v="0"/>
    <x v="3"/>
    <s v="CHKTEL"/>
    <x v="10"/>
    <x v="6"/>
    <x v="0"/>
    <x v="0"/>
  </r>
  <r>
    <s v="T-100479"/>
    <d v="2025-08-22T00:00:00"/>
    <s v="Afi Ayivi"/>
    <x v="3"/>
    <x v="4"/>
    <n v="84.38"/>
    <x v="15"/>
    <n v="17"/>
    <n v="1434.48"/>
    <x v="1"/>
    <x v="0"/>
    <x v="4"/>
    <s v="CHKFMC"/>
    <x v="4"/>
    <x v="4"/>
    <x v="0"/>
    <x v="1"/>
  </r>
  <r>
    <s v="T-100480"/>
    <d v="2025-10-15T00:00:00"/>
    <s v="​Yawa Kpodo  "/>
    <x v="3"/>
    <x v="2"/>
    <n v="57.2"/>
    <x v="17"/>
    <n v="14"/>
    <n v="800.75"/>
    <x v="0"/>
    <x v="0"/>
    <x v="2"/>
    <s v="CHKÉNE"/>
    <x v="0"/>
    <x v="5"/>
    <x v="0"/>
    <x v="1"/>
  </r>
  <r>
    <s v="T-100481"/>
    <d v="2025-02-22T00:00:00"/>
    <s v="Kossi Lawson"/>
    <x v="3"/>
    <x v="3"/>
    <n v="106.04"/>
    <x v="15"/>
    <n v="20"/>
    <n v="2120.7399999999998"/>
    <x v="0"/>
    <x v="0"/>
    <x v="1"/>
    <s v="CHKEDU"/>
    <x v="8"/>
    <x v="6"/>
    <x v="0"/>
    <x v="1"/>
  </r>
  <r>
    <s v="T-100482"/>
    <d v="2024-01-05T00:00:00"/>
    <s v="Kossi Amouzou"/>
    <x v="2"/>
    <x v="1"/>
    <n v="36.58"/>
    <x v="4"/>
    <n v="23"/>
    <n v="841.25"/>
    <x v="0"/>
    <x v="0"/>
    <x v="0"/>
    <s v="CHKAGR"/>
    <x v="3"/>
    <x v="4"/>
    <x v="0"/>
    <x v="0"/>
  </r>
  <r>
    <s v="T-100483"/>
    <d v="2025-04-15T00:00:00"/>
    <s v="yawa kpodo"/>
    <x v="3"/>
    <x v="0"/>
    <n v="120.14"/>
    <x v="15"/>
    <n v="10"/>
    <n v="1201.3800000000001"/>
    <x v="1"/>
    <x v="1"/>
    <x v="4"/>
    <s v="CHKFMC"/>
    <x v="1"/>
    <x v="1"/>
    <x v="0"/>
    <x v="1"/>
  </r>
  <r>
    <s v="T-100484"/>
    <d v="2025-04-26T00:00:00"/>
    <s v="Mawuli Kossi"/>
    <x v="2"/>
    <x v="3"/>
    <n v="150.5"/>
    <x v="16"/>
    <n v="15"/>
    <n v="2257.52"/>
    <x v="2"/>
    <x v="0"/>
    <x v="3"/>
    <s v="OKTEL"/>
    <x v="1"/>
    <x v="6"/>
    <x v="0"/>
    <x v="1"/>
  </r>
  <r>
    <s v="T-100485"/>
    <d v="2024-11-02T00:00:00"/>
    <s v="Afi Ayivi"/>
    <x v="2"/>
    <x v="1"/>
    <n v="41.59"/>
    <x v="4"/>
    <n v="17"/>
    <n v="707.03000000000009"/>
    <x v="2"/>
    <x v="0"/>
    <x v="0"/>
    <s v="OKAGR"/>
    <x v="11"/>
    <x v="6"/>
    <x v="0"/>
    <x v="0"/>
  </r>
  <r>
    <s v="T-100486"/>
    <d v="2024-09-11T00:00:00"/>
    <s v="Akofa Kpodo"/>
    <x v="0"/>
    <x v="0"/>
    <n v="277.14999999999998"/>
    <x v="5"/>
    <n v="12"/>
    <n v="3325.81"/>
    <x v="0"/>
    <x v="0"/>
    <x v="3"/>
    <s v="CHKTEL"/>
    <x v="2"/>
    <x v="5"/>
    <x v="0"/>
    <x v="0"/>
  </r>
  <r>
    <s v="T-100487"/>
    <d v="2024-08-05T00:00:00"/>
    <s v="Elom Tete"/>
    <x v="2"/>
    <x v="2"/>
    <n v="283.77999999999997"/>
    <x v="16"/>
    <n v="10"/>
    <n v="2837.83"/>
    <x v="2"/>
    <x v="1"/>
    <x v="4"/>
    <s v="OKFMC"/>
    <x v="4"/>
    <x v="3"/>
    <x v="0"/>
    <x v="0"/>
  </r>
  <r>
    <s v="T-100488"/>
    <d v="2025-04-11T00:00:00"/>
    <s v="Kossi Amouzou"/>
    <x v="2"/>
    <x v="4"/>
    <n v="16.920000000000002"/>
    <x v="7"/>
    <n v="100"/>
    <n v="1691.64"/>
    <x v="0"/>
    <x v="0"/>
    <x v="3"/>
    <s v="REVTEL"/>
    <x v="1"/>
    <x v="4"/>
    <x v="0"/>
    <x v="1"/>
  </r>
  <r>
    <s v="T-100489"/>
    <d v="2024-01-24T00:00:00"/>
    <s v="Eyram Kpodo"/>
    <x v="2"/>
    <x v="3"/>
    <n v="65.8"/>
    <x v="7"/>
    <n v="13"/>
    <n v="855.4"/>
    <x v="0"/>
    <x v="0"/>
    <x v="3"/>
    <s v="CHKTEL"/>
    <x v="3"/>
    <x v="5"/>
    <x v="0"/>
    <x v="0"/>
  </r>
  <r>
    <s v="T-100490"/>
    <d v="2024-01-15T00:00:00"/>
    <s v="Afi Mensah"/>
    <x v="0"/>
    <x v="1"/>
    <n v="50.59"/>
    <x v="0"/>
    <n v="15"/>
    <n v="758.83"/>
    <x v="2"/>
    <x v="0"/>
    <x v="2"/>
    <s v="REVÉNE"/>
    <x v="3"/>
    <x v="3"/>
    <x v="0"/>
    <x v="0"/>
  </r>
  <r>
    <s v="T-100491"/>
    <d v="2024-04-20T00:00:00"/>
    <s v="Kossi Kpodo"/>
    <x v="4"/>
    <x v="3"/>
    <n v="113.61"/>
    <x v="6"/>
    <n v="16"/>
    <n v="1817.8"/>
    <x v="0"/>
    <x v="0"/>
    <x v="3"/>
    <s v="CHKTEL"/>
    <x v="1"/>
    <x v="6"/>
    <x v="0"/>
    <x v="0"/>
  </r>
  <r>
    <s v="T-100492"/>
    <d v="2024-05-26T00:00:00"/>
    <s v="Kodjo Lawson"/>
    <x v="2"/>
    <x v="1"/>
    <n v="120.09"/>
    <x v="4"/>
    <n v="11"/>
    <n v="1321"/>
    <x v="0"/>
    <x v="0"/>
    <x v="2"/>
    <s v="OKÉNE"/>
    <x v="7"/>
    <x v="2"/>
    <x v="0"/>
    <x v="0"/>
  </r>
  <r>
    <s v="T-100493"/>
    <d v="2024-10-07T00:00:00"/>
    <s v="Elom Ayivi"/>
    <x v="2"/>
    <x v="2"/>
    <n v="3077.87"/>
    <x v="2"/>
    <n v="1"/>
    <n v="3077.87"/>
    <x v="0"/>
    <x v="0"/>
    <x v="0"/>
    <s v="REVAGR"/>
    <x v="0"/>
    <x v="3"/>
    <x v="0"/>
    <x v="0"/>
  </r>
  <r>
    <s v="T-100494"/>
    <d v="2025-10-20T00:00:00"/>
    <s v="Eyram Amouzou"/>
    <x v="0"/>
    <x v="0"/>
    <n v="194.94"/>
    <x v="8"/>
    <n v="8"/>
    <n v="1559.52"/>
    <x v="0"/>
    <x v="1"/>
    <x v="2"/>
    <s v="OKÉNE"/>
    <x v="0"/>
    <x v="3"/>
    <x v="0"/>
    <x v="1"/>
  </r>
  <r>
    <s v="T-100495"/>
    <d v="2024-06-22T00:00:00"/>
    <s v="Akofa Tete"/>
    <x v="1"/>
    <x v="0"/>
    <n v="160.30000000000001"/>
    <x v="11"/>
    <n v="10"/>
    <n v="1603"/>
    <x v="2"/>
    <x v="1"/>
    <x v="2"/>
    <s v="CHKÉNE"/>
    <x v="10"/>
    <x v="6"/>
    <x v="0"/>
    <x v="0"/>
  </r>
  <r>
    <s v="T-100496"/>
    <d v="2025-07-17T00:00:00"/>
    <s v="Sena Agbo"/>
    <x v="3"/>
    <x v="3"/>
    <n v="173.05"/>
    <x v="15"/>
    <n v="11"/>
    <n v="1903.59"/>
    <x v="0"/>
    <x v="0"/>
    <x v="3"/>
    <s v="OKTEL"/>
    <x v="5"/>
    <x v="0"/>
    <x v="0"/>
    <x v="1"/>
  </r>
  <r>
    <s v="T-100497"/>
    <d v="2025-02-14T00:00:00"/>
    <s v="Kossi Amouzou"/>
    <x v="0"/>
    <x v="3"/>
    <n v="154.24"/>
    <x v="0"/>
    <n v="10"/>
    <n v="1542.44"/>
    <x v="0"/>
    <x v="1"/>
    <x v="2"/>
    <s v="REVÉNE"/>
    <x v="8"/>
    <x v="4"/>
    <x v="0"/>
    <x v="1"/>
  </r>
  <r>
    <s v="T-100498"/>
    <d v="2025-03-16T00:00:00"/>
    <s v="Atsou Lawson"/>
    <x v="2"/>
    <x v="4"/>
    <n v="79.180000000000007"/>
    <x v="2"/>
    <n v="19"/>
    <n v="1504.36"/>
    <x v="0"/>
    <x v="0"/>
    <x v="2"/>
    <s v="CHKÉNE"/>
    <x v="6"/>
    <x v="2"/>
    <x v="0"/>
    <x v="1"/>
  </r>
  <r>
    <s v="T-100499"/>
    <d v="2025-01-17T00:00:00"/>
    <s v="Atsou Mensah"/>
    <x v="1"/>
    <x v="1"/>
    <n v="216.44"/>
    <x v="19"/>
    <n v="10"/>
    <n v="2164.35"/>
    <x v="0"/>
    <x v="1"/>
    <x v="0"/>
    <s v="REVAGR"/>
    <x v="3"/>
    <x v="4"/>
    <x v="0"/>
    <x v="1"/>
  </r>
  <r>
    <s v="T-100500"/>
    <d v="2025-02-12T00:00:00"/>
    <s v="Eyram Agbo"/>
    <x v="1"/>
    <x v="2"/>
    <n v="367.71"/>
    <x v="9"/>
    <n v="7"/>
    <n v="2574"/>
    <x v="0"/>
    <x v="1"/>
    <x v="3"/>
    <s v="OKTEL"/>
    <x v="8"/>
    <x v="5"/>
    <x v="0"/>
    <x v="1"/>
  </r>
  <r>
    <s v="T-100501"/>
    <d v="2025-04-06T00:00:00"/>
    <s v="Atsou Ayivi"/>
    <x v="3"/>
    <x v="2"/>
    <n v="138.52000000000001"/>
    <x v="3"/>
    <n v="9"/>
    <n v="1246.7"/>
    <x v="1"/>
    <x v="1"/>
    <x v="2"/>
    <s v="REVÉNE"/>
    <x v="1"/>
    <x v="2"/>
    <x v="0"/>
    <x v="1"/>
  </r>
  <r>
    <s v="T-100502"/>
    <d v="2024-04-19T00:00:00"/>
    <s v="​Mawuli Lawson  "/>
    <x v="2"/>
    <x v="2"/>
    <n v="118"/>
    <x v="7"/>
    <n v="9"/>
    <n v="1062"/>
    <x v="0"/>
    <x v="1"/>
    <x v="4"/>
    <s v="REVFMC"/>
    <x v="1"/>
    <x v="4"/>
    <x v="0"/>
    <x v="0"/>
  </r>
  <r>
    <s v="T-100503"/>
    <d v="2025-07-24T00:00:00"/>
    <s v="Afi Mensah"/>
    <x v="4"/>
    <x v="1"/>
    <n v="59"/>
    <x v="18"/>
    <n v="17"/>
    <n v="1003.02"/>
    <x v="2"/>
    <x v="0"/>
    <x v="3"/>
    <s v="OKTEL"/>
    <x v="5"/>
    <x v="0"/>
    <x v="0"/>
    <x v="1"/>
  </r>
  <r>
    <s v="T-100504"/>
    <d v="2025-02-07T00:00:00"/>
    <s v="Sena Amouzou"/>
    <x v="3"/>
    <x v="0"/>
    <n v="128.47"/>
    <x v="10"/>
    <n v="8"/>
    <n v="1027.77"/>
    <x v="0"/>
    <x v="1"/>
    <x v="3"/>
    <s v="REVTEL"/>
    <x v="8"/>
    <x v="4"/>
    <x v="0"/>
    <x v="1"/>
  </r>
  <r>
    <s v="T-100505"/>
    <d v="2025-10-03T00:00:00"/>
    <s v="Kossi Ayivi"/>
    <x v="2"/>
    <x v="4"/>
    <n v="140.66999999999999"/>
    <x v="16"/>
    <n v="16"/>
    <n v="2250.6799999999998"/>
    <x v="0"/>
    <x v="0"/>
    <x v="0"/>
    <s v="OKAGR"/>
    <x v="0"/>
    <x v="4"/>
    <x v="0"/>
    <x v="1"/>
  </r>
  <r>
    <s v="T-100506"/>
    <d v="2024-01-24T00:00:00"/>
    <s v="Mawuli Agbo"/>
    <x v="0"/>
    <x v="4"/>
    <n v="79.989999999999995"/>
    <x v="0"/>
    <n v="11"/>
    <n v="879.87"/>
    <x v="2"/>
    <x v="0"/>
    <x v="4"/>
    <s v="OKFMC"/>
    <x v="3"/>
    <x v="5"/>
    <x v="0"/>
    <x v="0"/>
  </r>
  <r>
    <s v="T-100507"/>
    <d v="2025-10-07T00:00:00"/>
    <s v="Kodjo Agbo"/>
    <x v="2"/>
    <x v="4"/>
    <n v="158.32"/>
    <x v="16"/>
    <n v="15"/>
    <n v="2374.85"/>
    <x v="0"/>
    <x v="0"/>
    <x v="1"/>
    <s v="OKEDU"/>
    <x v="0"/>
    <x v="1"/>
    <x v="0"/>
    <x v="1"/>
  </r>
  <r>
    <s v="T-100508"/>
    <d v="2025-10-17T00:00:00"/>
    <s v="Kodjo Amouzou"/>
    <x v="1"/>
    <x v="2"/>
    <n v="158.82"/>
    <x v="9"/>
    <n v="8"/>
    <n v="1270.5899999999999"/>
    <x v="1"/>
    <x v="1"/>
    <x v="3"/>
    <s v="CHKTEL"/>
    <x v="0"/>
    <x v="4"/>
    <x v="0"/>
    <x v="1"/>
  </r>
  <r>
    <s v="T-100509"/>
    <d v="2025-05-23T00:00:00"/>
    <s v="Kossi Hounkpati"/>
    <x v="4"/>
    <x v="2"/>
    <n v="192.8"/>
    <x v="6"/>
    <n v="10"/>
    <n v="1927.99"/>
    <x v="0"/>
    <x v="1"/>
    <x v="3"/>
    <s v="CHKTEL"/>
    <x v="7"/>
    <x v="4"/>
    <x v="0"/>
    <x v="1"/>
  </r>
  <r>
    <s v="T-100510"/>
    <d v="2024-07-01T00:00:00"/>
    <s v="Atsou Kpodo"/>
    <x v="1"/>
    <x v="1"/>
    <n v="218.33"/>
    <x v="1"/>
    <n v="13"/>
    <n v="2838.33"/>
    <x v="2"/>
    <x v="0"/>
    <x v="1"/>
    <s v="CHKEDU"/>
    <x v="5"/>
    <x v="3"/>
    <x v="0"/>
    <x v="0"/>
  </r>
  <r>
    <s v="T-100511"/>
    <d v="2024-09-02T00:00:00"/>
    <s v="Kossi Gbogbo"/>
    <x v="1"/>
    <x v="3"/>
    <n v="182.62"/>
    <x v="19"/>
    <n v="8"/>
    <n v="1461"/>
    <x v="2"/>
    <x v="1"/>
    <x v="3"/>
    <s v="OKTEL"/>
    <x v="2"/>
    <x v="3"/>
    <x v="0"/>
    <x v="0"/>
  </r>
  <r>
    <s v="T-100512"/>
    <d v="2025-01-19T00:00:00"/>
    <s v="Elom Kpodo"/>
    <x v="3"/>
    <x v="3"/>
    <n v="94.42"/>
    <x v="15"/>
    <n v="11"/>
    <n v="1038.5899999999999"/>
    <x v="0"/>
    <x v="0"/>
    <x v="4"/>
    <s v="OKFMC"/>
    <x v="3"/>
    <x v="2"/>
    <x v="0"/>
    <x v="1"/>
  </r>
  <r>
    <s v="T-100513"/>
    <d v="2025-05-27T00:00:00"/>
    <s v="Client Unknown"/>
    <x v="4"/>
    <x v="3"/>
    <n v="118.87"/>
    <x v="12"/>
    <n v="12"/>
    <n v="1426.43"/>
    <x v="0"/>
    <x v="0"/>
    <x v="2"/>
    <s v="CHKÉNE"/>
    <x v="7"/>
    <x v="1"/>
    <x v="0"/>
    <x v="1"/>
  </r>
  <r>
    <s v="T-100514"/>
    <d v="2025-06-01T00:00:00"/>
    <s v="Mawuli Gbogbo"/>
    <x v="1"/>
    <x v="0"/>
    <n v="94.58"/>
    <x v="11"/>
    <n v="22"/>
    <n v="2080.67"/>
    <x v="0"/>
    <x v="0"/>
    <x v="0"/>
    <s v="CHKAGR"/>
    <x v="10"/>
    <x v="2"/>
    <x v="0"/>
    <x v="1"/>
  </r>
  <r>
    <s v="T-100515"/>
    <d v="2024-04-03T00:00:00"/>
    <s v="Eyram Amouzou"/>
    <x v="2"/>
    <x v="3"/>
    <n v="183.19"/>
    <x v="4"/>
    <n v="10"/>
    <n v="1831.9"/>
    <x v="0"/>
    <x v="1"/>
    <x v="1"/>
    <s v="CHKEDU"/>
    <x v="1"/>
    <x v="5"/>
    <x v="0"/>
    <x v="0"/>
  </r>
  <r>
    <s v="T-100516"/>
    <d v="2024-04-10T00:00:00"/>
    <s v="Mawuli Amouzou"/>
    <x v="1"/>
    <x v="1"/>
    <n v="248.1"/>
    <x v="1"/>
    <n v="10"/>
    <n v="166.2715"/>
    <x v="0"/>
    <x v="1"/>
    <x v="3"/>
    <s v="CHKTEL"/>
    <x v="1"/>
    <x v="5"/>
    <x v="0"/>
    <x v="0"/>
  </r>
  <r>
    <s v="T-100517"/>
    <d v="2024-01-23T00:00:00"/>
    <s v="Yawa Tete"/>
    <x v="2"/>
    <x v="1"/>
    <n v="169.77"/>
    <x v="4"/>
    <n v="15"/>
    <n v="2546.61"/>
    <x v="0"/>
    <x v="0"/>
    <x v="1"/>
    <s v="OKEDU"/>
    <x v="3"/>
    <x v="1"/>
    <x v="0"/>
    <x v="0"/>
  </r>
  <r>
    <s v="T-100518"/>
    <d v="2024-04-24T00:00:00"/>
    <s v="Atsou Kossi"/>
    <x v="4"/>
    <x v="4"/>
    <n v="200.31"/>
    <x v="18"/>
    <n v="13"/>
    <n v="2603.9899999999998"/>
    <x v="0"/>
    <x v="0"/>
    <x v="1"/>
    <s v="CHKEDU"/>
    <x v="1"/>
    <x v="5"/>
    <x v="0"/>
    <x v="0"/>
  </r>
  <r>
    <s v="T-100519"/>
    <d v="2025-07-02T00:00:00"/>
    <s v="​Elom Amouzou  "/>
    <x v="4"/>
    <x v="1"/>
    <n v="126.33"/>
    <x v="12"/>
    <n v="13"/>
    <n v="1642.31"/>
    <x v="0"/>
    <x v="0"/>
    <x v="4"/>
    <s v="OKFMC"/>
    <x v="5"/>
    <x v="5"/>
    <x v="0"/>
    <x v="1"/>
  </r>
  <r>
    <s v="T-100520"/>
    <d v="2025-10-14T00:00:00"/>
    <s v="Kodjo Agbo"/>
    <x v="1"/>
    <x v="1"/>
    <n v="60.12"/>
    <x v="9"/>
    <n v="12"/>
    <n v="721.38"/>
    <x v="2"/>
    <x v="0"/>
    <x v="2"/>
    <s v="CHKÉNE"/>
    <x v="0"/>
    <x v="1"/>
    <x v="0"/>
    <x v="1"/>
  </r>
  <r>
    <s v="T-100521"/>
    <d v="2025-08-27T00:00:00"/>
    <s v="Mawuli Kpodo"/>
    <x v="0"/>
    <x v="0"/>
    <n v="90.53"/>
    <x v="5"/>
    <n v="15"/>
    <n v="1358"/>
    <x v="0"/>
    <x v="0"/>
    <x v="4"/>
    <s v="REVFMC"/>
    <x v="4"/>
    <x v="5"/>
    <x v="0"/>
    <x v="1"/>
  </r>
  <r>
    <s v="T-100522"/>
    <d v="2025-09-26T00:00:00"/>
    <s v="Elom Agbo"/>
    <x v="3"/>
    <x v="0"/>
    <n v="112.91"/>
    <x v="15"/>
    <n v="15"/>
    <n v="1693.63"/>
    <x v="0"/>
    <x v="0"/>
    <x v="1"/>
    <s v="CHKEDU"/>
    <x v="2"/>
    <x v="4"/>
    <x v="0"/>
    <x v="1"/>
  </r>
  <r>
    <s v="T-100523"/>
    <d v="2024-02-15T00:00:00"/>
    <s v="Mawuli Tete"/>
    <x v="1"/>
    <x v="3"/>
    <n v="107.86"/>
    <x v="11"/>
    <n v="15"/>
    <n v="1617.86"/>
    <x v="0"/>
    <x v="0"/>
    <x v="4"/>
    <s v="OKFMC"/>
    <x v="8"/>
    <x v="0"/>
    <x v="0"/>
    <x v="0"/>
  </r>
  <r>
    <s v="T-100524"/>
    <d v="2025-07-20T00:00:00"/>
    <s v="Eyram Lawson"/>
    <x v="3"/>
    <x v="4"/>
    <n v="128.86000000000001"/>
    <x v="17"/>
    <n v="9"/>
    <n v="1159.71"/>
    <x v="0"/>
    <x v="1"/>
    <x v="3"/>
    <s v="OKTEL"/>
    <x v="5"/>
    <x v="2"/>
    <x v="0"/>
    <x v="1"/>
  </r>
  <r>
    <s v="T-100525"/>
    <d v="2024-11-23T00:00:00"/>
    <s v="Mawuli Kossi"/>
    <x v="3"/>
    <x v="4"/>
    <n v="1081.75"/>
    <x v="10"/>
    <n v="1"/>
    <n v="1081.75"/>
    <x v="0"/>
    <x v="1"/>
    <x v="2"/>
    <s v="REVÉNE"/>
    <x v="11"/>
    <x v="6"/>
    <x v="0"/>
    <x v="0"/>
  </r>
  <r>
    <s v="T-100526"/>
    <d v="2025-01-01T00:00:00"/>
    <s v="Akofa Amouzou"/>
    <x v="1"/>
    <x v="2"/>
    <n v="324.44"/>
    <x v="19"/>
    <n v="11"/>
    <n v="3568.87"/>
    <x v="0"/>
    <x v="0"/>
    <x v="4"/>
    <s v="REVFMC"/>
    <x v="3"/>
    <x v="5"/>
    <x v="0"/>
    <x v="1"/>
  </r>
  <r>
    <s v="T-100527"/>
    <d v="2024-01-17T00:00:00"/>
    <s v="Kossi Hounkpati"/>
    <x v="4"/>
    <x v="2"/>
    <n v="11.54"/>
    <x v="12"/>
    <n v="116"/>
    <n v="1339.17"/>
    <x v="0"/>
    <x v="0"/>
    <x v="4"/>
    <s v="OKFMC"/>
    <x v="3"/>
    <x v="5"/>
    <x v="0"/>
    <x v="0"/>
  </r>
  <r>
    <s v="T-100528"/>
    <d v="2024-08-09T00:00:00"/>
    <s v="Sena Hounkpati"/>
    <x v="4"/>
    <x v="4"/>
    <n v="385.46"/>
    <x v="18"/>
    <n v="8"/>
    <n v="3083.71"/>
    <x v="0"/>
    <x v="0"/>
    <x v="4"/>
    <s v="REVFMC"/>
    <x v="4"/>
    <x v="4"/>
    <x v="0"/>
    <x v="0"/>
  </r>
  <r>
    <s v="T-100529"/>
    <d v="2024-05-01T00:00:00"/>
    <s v="Kossi Kossi"/>
    <x v="4"/>
    <x v="1"/>
    <n v="81.12"/>
    <x v="14"/>
    <n v="11"/>
    <n v="892.32"/>
    <x v="1"/>
    <x v="0"/>
    <x v="1"/>
    <s v="CHKEDU"/>
    <x v="7"/>
    <x v="5"/>
    <x v="0"/>
    <x v="0"/>
  </r>
  <r>
    <s v="T-100530"/>
    <d v="2024-03-19T00:00:00"/>
    <s v="Yawa Gbogbo"/>
    <x v="1"/>
    <x v="0"/>
    <n v="100.29"/>
    <x v="1"/>
    <n v="15"/>
    <n v="1504.41"/>
    <x v="0"/>
    <x v="0"/>
    <x v="2"/>
    <s v="REVÉNE"/>
    <x v="6"/>
    <x v="1"/>
    <x v="0"/>
    <x v="0"/>
  </r>
  <r>
    <s v="T-100531"/>
    <d v="2025-07-06T00:00:00"/>
    <s v="Akofa Ayivi"/>
    <x v="0"/>
    <x v="1"/>
    <n v="228.81"/>
    <x v="13"/>
    <n v="10"/>
    <n v="2288.11"/>
    <x v="1"/>
    <x v="1"/>
    <x v="4"/>
    <s v="CHKFMC"/>
    <x v="5"/>
    <x v="2"/>
    <x v="0"/>
    <x v="1"/>
  </r>
  <r>
    <s v="T-100532"/>
    <d v="2024-07-28T00:00:00"/>
    <s v="Sena Gbogbo"/>
    <x v="4"/>
    <x v="0"/>
    <n v="174"/>
    <x v="18"/>
    <n v="9"/>
    <n v="1566"/>
    <x v="0"/>
    <x v="1"/>
    <x v="2"/>
    <s v="CHKÉNE"/>
    <x v="5"/>
    <x v="2"/>
    <x v="0"/>
    <x v="0"/>
  </r>
  <r>
    <s v="T-100533"/>
    <d v="2024-03-13T00:00:00"/>
    <s v="Afi Kossi"/>
    <x v="1"/>
    <x v="3"/>
    <n v="1115.5999999999999"/>
    <x v="9"/>
    <n v="1"/>
    <n v="1115.5999999999999"/>
    <x v="2"/>
    <x v="1"/>
    <x v="3"/>
    <s v="CHKTEL"/>
    <x v="6"/>
    <x v="5"/>
    <x v="0"/>
    <x v="0"/>
  </r>
  <r>
    <s v="T-100534"/>
    <d v="2025-05-31T00:00:00"/>
    <s v="Eyram Amouzou"/>
    <x v="2"/>
    <x v="3"/>
    <n v="56.94"/>
    <x v="16"/>
    <n v="14"/>
    <n v="797.22"/>
    <x v="1"/>
    <x v="0"/>
    <x v="4"/>
    <s v="CHKFMC"/>
    <x v="7"/>
    <x v="6"/>
    <x v="0"/>
    <x v="1"/>
  </r>
  <r>
    <s v="T-100535"/>
    <d v="2025-02-18T00:00:00"/>
    <s v="Yawa Amouzou"/>
    <x v="3"/>
    <x v="4"/>
    <n v="101.77"/>
    <x v="17"/>
    <n v="15"/>
    <n v="1526.61"/>
    <x v="2"/>
    <x v="0"/>
    <x v="0"/>
    <s v="REVAGR"/>
    <x v="8"/>
    <x v="1"/>
    <x v="0"/>
    <x v="1"/>
  </r>
  <r>
    <s v="T-100536"/>
    <d v="2024-12-02T00:00:00"/>
    <s v="Mawuli Agbo"/>
    <x v="0"/>
    <x v="0"/>
    <n v="117.48"/>
    <x v="8"/>
    <n v="16"/>
    <n v="1879.66"/>
    <x v="0"/>
    <x v="0"/>
    <x v="3"/>
    <s v="CHKTEL"/>
    <x v="9"/>
    <x v="3"/>
    <x v="0"/>
    <x v="0"/>
  </r>
  <r>
    <s v="T-100537"/>
    <d v="2025-02-17T00:00:00"/>
    <s v="Yawa Lawson"/>
    <x v="3"/>
    <x v="0"/>
    <n v="99.94"/>
    <x v="17"/>
    <n v="13"/>
    <n v="1299.19"/>
    <x v="0"/>
    <x v="0"/>
    <x v="3"/>
    <s v="CHKTEL"/>
    <x v="8"/>
    <x v="3"/>
    <x v="0"/>
    <x v="1"/>
  </r>
  <r>
    <s v="T-100538"/>
    <d v="2025-02-08T00:00:00"/>
    <s v="Akofa Ayivi"/>
    <x v="4"/>
    <x v="1"/>
    <n v="219.39"/>
    <x v="14"/>
    <n v="10"/>
    <n v="2193.88"/>
    <x v="0"/>
    <x v="1"/>
    <x v="0"/>
    <s v="CHKAGR"/>
    <x v="8"/>
    <x v="6"/>
    <x v="0"/>
    <x v="1"/>
  </r>
  <r>
    <s v="T-100539"/>
    <d v="2024-05-30T00:00:00"/>
    <s v="Mawuli Mensah"/>
    <x v="2"/>
    <x v="2"/>
    <n v="192.86"/>
    <x v="16"/>
    <n v="14"/>
    <n v="2700"/>
    <x v="1"/>
    <x v="0"/>
    <x v="0"/>
    <s v="REVAGR"/>
    <x v="7"/>
    <x v="0"/>
    <x v="0"/>
    <x v="0"/>
  </r>
  <r>
    <s v="T-100540"/>
    <d v="2024-03-07T00:00:00"/>
    <s v="Afi Mensah"/>
    <x v="1"/>
    <x v="0"/>
    <n v="31.47"/>
    <x v="9"/>
    <n v="78"/>
    <n v="2454.89"/>
    <x v="2"/>
    <x v="0"/>
    <x v="0"/>
    <s v="CHKAGR"/>
    <x v="6"/>
    <x v="0"/>
    <x v="0"/>
    <x v="0"/>
  </r>
  <r>
    <s v="T-100541"/>
    <d v="2024-11-06T00:00:00"/>
    <s v="Sena Amouzou"/>
    <x v="1"/>
    <x v="4"/>
    <n v="116.36"/>
    <x v="11"/>
    <n v="11"/>
    <n v="1280"/>
    <x v="0"/>
    <x v="0"/>
    <x v="3"/>
    <s v="REVTEL"/>
    <x v="11"/>
    <x v="5"/>
    <x v="0"/>
    <x v="0"/>
  </r>
  <r>
    <s v="T-100542"/>
    <d v="2024-02-19T00:00:00"/>
    <s v="Sena Agbo"/>
    <x v="2"/>
    <x v="3"/>
    <n v="76.069999999999993"/>
    <x v="7"/>
    <n v="13"/>
    <n v="988.86"/>
    <x v="0"/>
    <x v="0"/>
    <x v="3"/>
    <s v="CHKTEL"/>
    <x v="8"/>
    <x v="3"/>
    <x v="0"/>
    <x v="0"/>
  </r>
  <r>
    <s v="T-100543"/>
    <d v="2024-03-27T00:00:00"/>
    <s v="Atsou Lawson"/>
    <x v="1"/>
    <x v="0"/>
    <n v="65.28"/>
    <x v="9"/>
    <n v="23"/>
    <n v="1501.39"/>
    <x v="0"/>
    <x v="0"/>
    <x v="4"/>
    <s v="CHKFMC"/>
    <x v="6"/>
    <x v="5"/>
    <x v="0"/>
    <x v="0"/>
  </r>
  <r>
    <s v="T-100544"/>
    <d v="2025-06-24T00:00:00"/>
    <s v="Eyram Hounkpati"/>
    <x v="0"/>
    <x v="1"/>
    <n v="1594.65"/>
    <x v="8"/>
    <n v="1"/>
    <n v="1594.65"/>
    <x v="0"/>
    <x v="1"/>
    <x v="4"/>
    <s v="CHKFMC"/>
    <x v="10"/>
    <x v="1"/>
    <x v="0"/>
    <x v="1"/>
  </r>
  <r>
    <s v="T-100545"/>
    <d v="2025-09-24T00:00:00"/>
    <s v="Sena Gbogbo"/>
    <x v="3"/>
    <x v="4"/>
    <n v="151.21"/>
    <x v="10"/>
    <n v="12"/>
    <n v="1814.57"/>
    <x v="1"/>
    <x v="0"/>
    <x v="0"/>
    <s v="OKAGR"/>
    <x v="2"/>
    <x v="5"/>
    <x v="0"/>
    <x v="1"/>
  </r>
  <r>
    <s v="T-100546"/>
    <d v="2025-08-18T00:00:00"/>
    <s v="Eyram Hounkpati"/>
    <x v="1"/>
    <x v="1"/>
    <n v="11.24"/>
    <x v="19"/>
    <n v="64"/>
    <n v="719.27"/>
    <x v="1"/>
    <x v="0"/>
    <x v="3"/>
    <s v="OKTEL"/>
    <x v="4"/>
    <x v="3"/>
    <x v="0"/>
    <x v="1"/>
  </r>
  <r>
    <s v="T-100547"/>
    <d v="2024-08-25T00:00:00"/>
    <s v="Mawuli Amouzou"/>
    <x v="4"/>
    <x v="3"/>
    <n v="127.22"/>
    <x v="6"/>
    <n v="16"/>
    <n v="2035.54"/>
    <x v="0"/>
    <x v="0"/>
    <x v="3"/>
    <s v="OKTEL"/>
    <x v="4"/>
    <x v="2"/>
    <x v="0"/>
    <x v="0"/>
  </r>
  <r>
    <s v="T-100548"/>
    <d v="2025-07-16T00:00:00"/>
    <s v="Elom Lawson"/>
    <x v="0"/>
    <x v="3"/>
    <n v="156.86000000000001"/>
    <x v="5"/>
    <n v="9"/>
    <n v="1411.76"/>
    <x v="0"/>
    <x v="1"/>
    <x v="3"/>
    <s v="CHKTEL"/>
    <x v="5"/>
    <x v="5"/>
    <x v="0"/>
    <x v="1"/>
  </r>
  <r>
    <s v="T-100549"/>
    <d v="2024-02-01T00:00:00"/>
    <s v="Yawa Mensah"/>
    <x v="1"/>
    <x v="3"/>
    <n v="153.36000000000001"/>
    <x v="1"/>
    <n v="10"/>
    <n v="1533.59"/>
    <x v="0"/>
    <x v="1"/>
    <x v="0"/>
    <s v="REVAGR"/>
    <x v="8"/>
    <x v="0"/>
    <x v="0"/>
    <x v="0"/>
  </r>
  <r>
    <s v="T-100550"/>
    <d v="2024-07-27T00:00:00"/>
    <s v="Sena Gbogbo"/>
    <x v="2"/>
    <x v="1"/>
    <n v="334.58"/>
    <x v="7"/>
    <n v="10"/>
    <n v="3345.81"/>
    <x v="0"/>
    <x v="0"/>
    <x v="0"/>
    <s v="REVAGR"/>
    <x v="5"/>
    <x v="6"/>
    <x v="0"/>
    <x v="0"/>
  </r>
  <r>
    <s v="T-100551"/>
    <d v="2025-04-24T00:00:00"/>
    <s v="Atsou Kpodo"/>
    <x v="0"/>
    <x v="1"/>
    <n v="195.35"/>
    <x v="0"/>
    <n v="13"/>
    <n v="2539.56"/>
    <x v="1"/>
    <x v="0"/>
    <x v="1"/>
    <s v="CHKEDU"/>
    <x v="1"/>
    <x v="0"/>
    <x v="0"/>
    <x v="1"/>
  </r>
  <r>
    <s v="T-100552"/>
    <d v="2024-11-12T00:00:00"/>
    <s v="​Mawuli Tete  "/>
    <x v="2"/>
    <x v="3"/>
    <n v="198.34"/>
    <x v="7"/>
    <n v="11"/>
    <n v="2181.7399999999998"/>
    <x v="2"/>
    <x v="0"/>
    <x v="1"/>
    <s v="OKEDU"/>
    <x v="11"/>
    <x v="1"/>
    <x v="0"/>
    <x v="0"/>
  </r>
  <r>
    <s v="T-100553"/>
    <d v="2024-12-08T00:00:00"/>
    <s v="Yawa Hounkpati"/>
    <x v="0"/>
    <x v="2"/>
    <n v="45.5"/>
    <x v="0"/>
    <n v="24"/>
    <n v="1092"/>
    <x v="0"/>
    <x v="0"/>
    <x v="4"/>
    <s v="OKFMC"/>
    <x v="9"/>
    <x v="2"/>
    <x v="0"/>
    <x v="0"/>
  </r>
  <r>
    <s v="T-100554"/>
    <d v="2025-03-30T00:00:00"/>
    <s v="Elom Kossi"/>
    <x v="4"/>
    <x v="3"/>
    <n v="92.53"/>
    <x v="6"/>
    <n v="7"/>
    <n v="647.69000000000005"/>
    <x v="0"/>
    <x v="1"/>
    <x v="4"/>
    <s v="CHKFMC"/>
    <x v="6"/>
    <x v="2"/>
    <x v="0"/>
    <x v="1"/>
  </r>
  <r>
    <s v="T-100555"/>
    <d v="2024-08-16T00:00:00"/>
    <s v="Kossi Kossi"/>
    <x v="4"/>
    <x v="0"/>
    <n v="119.87"/>
    <x v="14"/>
    <n v="13"/>
    <n v="1558.3"/>
    <x v="0"/>
    <x v="0"/>
    <x v="2"/>
    <s v="REVÉNE"/>
    <x v="4"/>
    <x v="4"/>
    <x v="0"/>
    <x v="0"/>
  </r>
  <r>
    <s v="T-100556"/>
    <d v="2024-06-12T00:00:00"/>
    <s v="Kodjo Agbo"/>
    <x v="1"/>
    <x v="1"/>
    <n v="110.7"/>
    <x v="1"/>
    <n v="10"/>
    <n v="1106.96"/>
    <x v="0"/>
    <x v="1"/>
    <x v="0"/>
    <s v="OKAGR"/>
    <x v="10"/>
    <x v="5"/>
    <x v="0"/>
    <x v="0"/>
  </r>
  <r>
    <s v="T-100557"/>
    <d v="2025-08-06T00:00:00"/>
    <s v="Mawuli Amouzou"/>
    <x v="0"/>
    <x v="0"/>
    <n v="342.39"/>
    <x v="5"/>
    <n v="9"/>
    <n v="3081.54"/>
    <x v="2"/>
    <x v="0"/>
    <x v="3"/>
    <s v="CHKTEL"/>
    <x v="4"/>
    <x v="5"/>
    <x v="0"/>
    <x v="1"/>
  </r>
  <r>
    <s v="T-100558"/>
    <d v="2025-03-31T00:00:00"/>
    <s v="Mawuli Gbogbo"/>
    <x v="4"/>
    <x v="1"/>
    <n v="81.38"/>
    <x v="18"/>
    <n v="14"/>
    <n v="1139.32"/>
    <x v="0"/>
    <x v="0"/>
    <x v="2"/>
    <s v="CHKÉNE"/>
    <x v="6"/>
    <x v="3"/>
    <x v="0"/>
    <x v="1"/>
  </r>
  <r>
    <s v="T-100559"/>
    <d v="2024-01-23T00:00:00"/>
    <s v="Yawa Lawson"/>
    <x v="3"/>
    <x v="2"/>
    <n v="245.71"/>
    <x v="10"/>
    <n v="7"/>
    <n v="1720"/>
    <x v="0"/>
    <x v="1"/>
    <x v="4"/>
    <s v="CHKFMC"/>
    <x v="3"/>
    <x v="1"/>
    <x v="0"/>
    <x v="0"/>
  </r>
  <r>
    <s v="T-100560"/>
    <d v="2024-10-24T00:00:00"/>
    <s v="Yawa Agbo"/>
    <x v="0"/>
    <x v="3"/>
    <n v="19.440000000000001"/>
    <x v="8"/>
    <n v="120"/>
    <n v="2333.11"/>
    <x v="0"/>
    <x v="0"/>
    <x v="4"/>
    <s v="OKFMC"/>
    <x v="0"/>
    <x v="0"/>
    <x v="0"/>
    <x v="0"/>
  </r>
  <r>
    <s v="T-100561"/>
    <d v="2025-08-26T00:00:00"/>
    <s v="Mawuli Hounkpati"/>
    <x v="3"/>
    <x v="3"/>
    <n v="217.14"/>
    <x v="10"/>
    <n v="16"/>
    <n v="3474.3"/>
    <x v="0"/>
    <x v="0"/>
    <x v="1"/>
    <s v="CHKEDU"/>
    <x v="4"/>
    <x v="1"/>
    <x v="0"/>
    <x v="1"/>
  </r>
  <r>
    <s v="T-100562"/>
    <d v="2025-05-17T00:00:00"/>
    <s v="Akofa Ayivi"/>
    <x v="3"/>
    <x v="4"/>
    <n v="130.83000000000001"/>
    <x v="20"/>
    <n v="11"/>
    <n v="1439.13"/>
    <x v="0"/>
    <x v="0"/>
    <x v="4"/>
    <s v="OKFMC"/>
    <x v="7"/>
    <x v="6"/>
    <x v="0"/>
    <x v="1"/>
  </r>
  <r>
    <s v="T-100563"/>
    <d v="2025-10-18T00:00:00"/>
    <s v="​Atsou Tete  "/>
    <x v="4"/>
    <x v="3"/>
    <n v="157.38"/>
    <x v="14"/>
    <n v="14"/>
    <n v="2203.3200000000002"/>
    <x v="2"/>
    <x v="0"/>
    <x v="4"/>
    <s v="REVFMC"/>
    <x v="0"/>
    <x v="6"/>
    <x v="0"/>
    <x v="1"/>
  </r>
  <r>
    <s v="T-100564"/>
    <d v="2024-09-28T00:00:00"/>
    <s v="Client Unknown"/>
    <x v="0"/>
    <x v="1"/>
    <n v="109.14"/>
    <x v="8"/>
    <n v="14"/>
    <n v="1528"/>
    <x v="0"/>
    <x v="0"/>
    <x v="3"/>
    <s v="CHKTEL"/>
    <x v="2"/>
    <x v="6"/>
    <x v="0"/>
    <x v="0"/>
  </r>
  <r>
    <s v="T-100565"/>
    <d v="2025-07-15T00:00:00"/>
    <s v="Kodjo Hounkpati"/>
    <x v="4"/>
    <x v="1"/>
    <n v="93.34"/>
    <x v="18"/>
    <n v="12"/>
    <n v="1120.06"/>
    <x v="0"/>
    <x v="0"/>
    <x v="4"/>
    <s v="OKFMC"/>
    <x v="5"/>
    <x v="1"/>
    <x v="0"/>
    <x v="1"/>
  </r>
  <r>
    <s v="T-100566"/>
    <d v="2025-01-13T00:00:00"/>
    <s v="Kodjo Gbogbo"/>
    <x v="1"/>
    <x v="0"/>
    <n v="168.77"/>
    <x v="19"/>
    <n v="7"/>
    <n v="1181.3800000000001"/>
    <x v="0"/>
    <x v="1"/>
    <x v="1"/>
    <s v="CHKEDU"/>
    <x v="3"/>
    <x v="3"/>
    <x v="0"/>
    <x v="1"/>
  </r>
  <r>
    <s v="T-100567"/>
    <d v="2025-10-28T00:00:00"/>
    <s v="Mawuli Amouzou"/>
    <x v="3"/>
    <x v="3"/>
    <n v="101.39"/>
    <x v="15"/>
    <n v="10"/>
    <n v="1013.94"/>
    <x v="0"/>
    <x v="1"/>
    <x v="1"/>
    <s v="REVEDU"/>
    <x v="0"/>
    <x v="1"/>
    <x v="0"/>
    <x v="1"/>
  </r>
  <r>
    <s v="T-100568"/>
    <d v="2025-08-12T00:00:00"/>
    <s v="Kossi Kossi"/>
    <x v="4"/>
    <x v="3"/>
    <n v="51.36"/>
    <x v="6"/>
    <n v="15"/>
    <n v="770.33"/>
    <x v="0"/>
    <x v="0"/>
    <x v="1"/>
    <s v="CHKEDU"/>
    <x v="4"/>
    <x v="1"/>
    <x v="0"/>
    <x v="1"/>
  </r>
  <r>
    <s v="T-100569"/>
    <d v="2024-08-05T00:00:00"/>
    <s v="Afi Mensah"/>
    <x v="3"/>
    <x v="4"/>
    <n v="88.27"/>
    <x v="17"/>
    <n v="14"/>
    <n v="1235.76"/>
    <x v="0"/>
    <x v="0"/>
    <x v="3"/>
    <s v="OKTEL"/>
    <x v="4"/>
    <x v="3"/>
    <x v="0"/>
    <x v="0"/>
  </r>
  <r>
    <s v="T-100570"/>
    <d v="2025-06-28T00:00:00"/>
    <s v="Akofa Agbo"/>
    <x v="4"/>
    <x v="3"/>
    <n v="115.26"/>
    <x v="12"/>
    <n v="10"/>
    <n v="1152.56"/>
    <x v="2"/>
    <x v="1"/>
    <x v="0"/>
    <s v="REVAGR"/>
    <x v="10"/>
    <x v="6"/>
    <x v="0"/>
    <x v="1"/>
  </r>
  <r>
    <s v="T-100571"/>
    <d v="2025-08-19T00:00:00"/>
    <s v="Kodjo Gbogbo"/>
    <x v="0"/>
    <x v="3"/>
    <n v="118.31"/>
    <x v="5"/>
    <n v="17"/>
    <n v="2011.2"/>
    <x v="0"/>
    <x v="0"/>
    <x v="4"/>
    <s v="OKFMC"/>
    <x v="4"/>
    <x v="1"/>
    <x v="0"/>
    <x v="1"/>
  </r>
  <r>
    <s v="T-100572"/>
    <d v="2024-08-20T00:00:00"/>
    <s v="Atsou Mensah"/>
    <x v="1"/>
    <x v="2"/>
    <n v="66.849999999999994"/>
    <x v="19"/>
    <n v="11"/>
    <n v="13174.279999999999"/>
    <x v="1"/>
    <x v="0"/>
    <x v="1"/>
    <s v="CHKEDU"/>
    <x v="4"/>
    <x v="1"/>
    <x v="1"/>
    <x v="0"/>
  </r>
  <r>
    <s v="T-100573"/>
    <d v="2025-02-17T00:00:00"/>
    <s v="Mawuli Lawson"/>
    <x v="2"/>
    <x v="2"/>
    <n v="191.08"/>
    <x v="4"/>
    <n v="13"/>
    <n v="2484"/>
    <x v="0"/>
    <x v="0"/>
    <x v="1"/>
    <s v="OKEDU"/>
    <x v="8"/>
    <x v="3"/>
    <x v="0"/>
    <x v="1"/>
  </r>
  <r>
    <s v="T-100574"/>
    <d v="2024-08-14T00:00:00"/>
    <s v="Mawuli Ayivi"/>
    <x v="3"/>
    <x v="3"/>
    <n v="127.76"/>
    <x v="10"/>
    <n v="15"/>
    <n v="1916.38"/>
    <x v="1"/>
    <x v="0"/>
    <x v="2"/>
    <s v="REVÉNE"/>
    <x v="4"/>
    <x v="5"/>
    <x v="0"/>
    <x v="0"/>
  </r>
  <r>
    <s v="T-100575"/>
    <d v="2025-10-23T00:00:00"/>
    <s v="Akofa Agbo"/>
    <x v="0"/>
    <x v="4"/>
    <n v="34.15"/>
    <x v="0"/>
    <n v="78"/>
    <n v="166.2715"/>
    <x v="2"/>
    <x v="0"/>
    <x v="1"/>
    <s v="CHKEDU"/>
    <x v="0"/>
    <x v="0"/>
    <x v="0"/>
    <x v="1"/>
  </r>
  <r>
    <s v="T-100576"/>
    <d v="2025-02-18T00:00:00"/>
    <s v="Kodjo Kpodo"/>
    <x v="2"/>
    <x v="4"/>
    <n v="144.88999999999999"/>
    <x v="4"/>
    <n v="11"/>
    <n v="1593.75"/>
    <x v="1"/>
    <x v="0"/>
    <x v="0"/>
    <s v="OKAGR"/>
    <x v="8"/>
    <x v="1"/>
    <x v="0"/>
    <x v="1"/>
  </r>
  <r>
    <s v="T-100577"/>
    <d v="2025-08-10T00:00:00"/>
    <s v="Sena Tete"/>
    <x v="3"/>
    <x v="4"/>
    <n v="2978.8"/>
    <x v="3"/>
    <n v="1"/>
    <n v="2978.8"/>
    <x v="2"/>
    <x v="1"/>
    <x v="4"/>
    <s v="CHKFMC"/>
    <x v="4"/>
    <x v="2"/>
    <x v="0"/>
    <x v="1"/>
  </r>
  <r>
    <s v="T-100578"/>
    <d v="2024-06-09T00:00:00"/>
    <s v="Atsou Tete"/>
    <x v="0"/>
    <x v="0"/>
    <n v="442.38"/>
    <x v="5"/>
    <n v="8"/>
    <n v="3539.05"/>
    <x v="2"/>
    <x v="0"/>
    <x v="4"/>
    <s v="REVFMC"/>
    <x v="10"/>
    <x v="2"/>
    <x v="0"/>
    <x v="0"/>
  </r>
  <r>
    <s v="T-100579"/>
    <d v="2025-01-11T00:00:00"/>
    <s v="Sena Amouzou"/>
    <x v="1"/>
    <x v="4"/>
    <n v="147.01"/>
    <x v="1"/>
    <n v="16"/>
    <n v="2352.12"/>
    <x v="1"/>
    <x v="0"/>
    <x v="4"/>
    <s v="CHKFMC"/>
    <x v="3"/>
    <x v="6"/>
    <x v="0"/>
    <x v="1"/>
  </r>
  <r>
    <s v="T-100580"/>
    <d v="2025-01-15T00:00:00"/>
    <s v="Client Unknown"/>
    <x v="3"/>
    <x v="2"/>
    <n v="42.15"/>
    <x v="10"/>
    <n v="85"/>
    <n v="3583"/>
    <x v="0"/>
    <x v="0"/>
    <x v="0"/>
    <s v="OKAGR"/>
    <x v="3"/>
    <x v="5"/>
    <x v="0"/>
    <x v="1"/>
  </r>
  <r>
    <s v="T-100581"/>
    <d v="2025-10-28T00:00:00"/>
    <s v="Atsou Kpodo"/>
    <x v="2"/>
    <x v="2"/>
    <n v="285.43"/>
    <x v="2"/>
    <n v="9"/>
    <n v="2568.88"/>
    <x v="0"/>
    <x v="1"/>
    <x v="4"/>
    <s v="REVFMC"/>
    <x v="0"/>
    <x v="1"/>
    <x v="0"/>
    <x v="1"/>
  </r>
  <r>
    <s v="T-100582"/>
    <d v="2024-07-28T00:00:00"/>
    <s v="​Akofa Lawson  "/>
    <x v="4"/>
    <x v="3"/>
    <n v="159.07"/>
    <x v="12"/>
    <n v="12"/>
    <n v="1908.81"/>
    <x v="0"/>
    <x v="0"/>
    <x v="0"/>
    <s v="OKAGR"/>
    <x v="5"/>
    <x v="2"/>
    <x v="0"/>
    <x v="0"/>
  </r>
  <r>
    <s v="T-100583"/>
    <d v="2025-04-04T00:00:00"/>
    <s v="Atsou Agbo"/>
    <x v="4"/>
    <x v="1"/>
    <n v="2342.41"/>
    <x v="6"/>
    <n v="1"/>
    <n v="2342.41"/>
    <x v="2"/>
    <x v="1"/>
    <x v="4"/>
    <s v="REVFMC"/>
    <x v="1"/>
    <x v="4"/>
    <x v="0"/>
    <x v="1"/>
  </r>
  <r>
    <s v="T-100584"/>
    <d v="2024-05-27T00:00:00"/>
    <s v="Kodjo Kpodo"/>
    <x v="4"/>
    <x v="0"/>
    <n v="1907"/>
    <x v="12"/>
    <n v="1"/>
    <n v="1907"/>
    <x v="0"/>
    <x v="1"/>
    <x v="3"/>
    <s v="CHKTEL"/>
    <x v="7"/>
    <x v="3"/>
    <x v="0"/>
    <x v="0"/>
  </r>
  <r>
    <s v="T-100585"/>
    <d v="2025-02-20T00:00:00"/>
    <s v="​Yawa Ayivi  "/>
    <x v="3"/>
    <x v="4"/>
    <n v="92.45"/>
    <x v="3"/>
    <n v="20"/>
    <n v="1849.02"/>
    <x v="0"/>
    <x v="0"/>
    <x v="2"/>
    <s v="OKÉNE"/>
    <x v="8"/>
    <x v="0"/>
    <x v="0"/>
    <x v="1"/>
  </r>
  <r>
    <s v="T-100586"/>
    <d v="2025-03-09T00:00:00"/>
    <s v="Yawa Kpodo"/>
    <x v="4"/>
    <x v="4"/>
    <n v="66.989999999999995"/>
    <x v="14"/>
    <n v="15"/>
    <n v="1004.78"/>
    <x v="2"/>
    <x v="0"/>
    <x v="0"/>
    <s v="OKAGR"/>
    <x v="6"/>
    <x v="2"/>
    <x v="0"/>
    <x v="1"/>
  </r>
  <r>
    <s v="T-100587"/>
    <d v="2025-05-11T00:00:00"/>
    <s v="Akofa Gbogbo"/>
    <x v="1"/>
    <x v="1"/>
    <n v="122.67"/>
    <x v="19"/>
    <n v="19"/>
    <n v="2330.73"/>
    <x v="2"/>
    <x v="0"/>
    <x v="1"/>
    <s v="CHKEDU"/>
    <x v="7"/>
    <x v="2"/>
    <x v="0"/>
    <x v="1"/>
  </r>
  <r>
    <s v="T-100588"/>
    <d v="2024-01-12T00:00:00"/>
    <s v="Eyram Agbo"/>
    <x v="0"/>
    <x v="2"/>
    <n v="407.53"/>
    <x v="13"/>
    <n v="8"/>
    <n v="3260.23"/>
    <x v="0"/>
    <x v="0"/>
    <x v="0"/>
    <s v="REVAGR"/>
    <x v="3"/>
    <x v="4"/>
    <x v="0"/>
    <x v="0"/>
  </r>
  <r>
    <s v="T-100589"/>
    <d v="2024-09-30T00:00:00"/>
    <s v="Sena Lawson"/>
    <x v="2"/>
    <x v="3"/>
    <n v="210.78"/>
    <x v="16"/>
    <n v="7"/>
    <n v="1475.45"/>
    <x v="0"/>
    <x v="1"/>
    <x v="0"/>
    <s v="OKAGR"/>
    <x v="2"/>
    <x v="3"/>
    <x v="0"/>
    <x v="0"/>
  </r>
  <r>
    <s v="T-100590"/>
    <d v="2024-10-14T00:00:00"/>
    <s v="Afi Kpodo"/>
    <x v="4"/>
    <x v="1"/>
    <n v="87.24"/>
    <x v="6"/>
    <n v="14"/>
    <n v="1221.3599999999999"/>
    <x v="0"/>
    <x v="0"/>
    <x v="4"/>
    <s v="OKFMC"/>
    <x v="0"/>
    <x v="3"/>
    <x v="0"/>
    <x v="0"/>
  </r>
  <r>
    <s v="T-100591"/>
    <d v="2024-09-22T00:00:00"/>
    <s v="Yawa Kossi"/>
    <x v="1"/>
    <x v="2"/>
    <n v="80.87"/>
    <x v="9"/>
    <n v="11"/>
    <n v="889.56"/>
    <x v="1"/>
    <x v="0"/>
    <x v="4"/>
    <s v="OKFMC"/>
    <x v="2"/>
    <x v="2"/>
    <x v="0"/>
    <x v="0"/>
  </r>
  <r>
    <s v="T-100592"/>
    <d v="2025-03-27T00:00:00"/>
    <s v="Kossi Hounkpati"/>
    <x v="4"/>
    <x v="0"/>
    <n v="719.24"/>
    <x v="12"/>
    <n v="3"/>
    <n v="2157.73"/>
    <x v="0"/>
    <x v="1"/>
    <x v="1"/>
    <s v="REVEDU"/>
    <x v="6"/>
    <x v="0"/>
    <x v="0"/>
    <x v="1"/>
  </r>
  <r>
    <s v="T-100593"/>
    <d v="2025-04-13T00:00:00"/>
    <s v="Akofa Mensah"/>
    <x v="3"/>
    <x v="4"/>
    <n v="166.94"/>
    <x v="10"/>
    <n v="9"/>
    <n v="1502.5"/>
    <x v="0"/>
    <x v="1"/>
    <x v="3"/>
    <s v="OKTEL"/>
    <x v="1"/>
    <x v="2"/>
    <x v="0"/>
    <x v="1"/>
  </r>
  <r>
    <s v="T-100594"/>
    <d v="2024-01-21T00:00:00"/>
    <s v="Sena Ayivi"/>
    <x v="2"/>
    <x v="1"/>
    <n v="95.5"/>
    <x v="7"/>
    <n v="14"/>
    <n v="1337.03"/>
    <x v="0"/>
    <x v="0"/>
    <x v="1"/>
    <s v="CHKEDU"/>
    <x v="3"/>
    <x v="2"/>
    <x v="0"/>
    <x v="0"/>
  </r>
  <r>
    <s v="T-100595"/>
    <d v="2024-10-18T00:00:00"/>
    <s v="Atsou Tete"/>
    <x v="2"/>
    <x v="1"/>
    <n v="748.36"/>
    <x v="2"/>
    <n v="1"/>
    <n v="748.36"/>
    <x v="1"/>
    <x v="1"/>
    <x v="0"/>
    <s v="REVAGR"/>
    <x v="0"/>
    <x v="4"/>
    <x v="0"/>
    <x v="0"/>
  </r>
  <r>
    <s v="T-100596"/>
    <d v="2024-08-04T00:00:00"/>
    <s v="Yawa Amouzou"/>
    <x v="1"/>
    <x v="4"/>
    <n v="139.08000000000001"/>
    <x v="19"/>
    <n v="12"/>
    <n v="1669"/>
    <x v="0"/>
    <x v="0"/>
    <x v="0"/>
    <s v="OKAGR"/>
    <x v="4"/>
    <x v="2"/>
    <x v="0"/>
    <x v="0"/>
  </r>
  <r>
    <s v="T-100597"/>
    <d v="2025-04-15T00:00:00"/>
    <s v="Kodjo Ayivi"/>
    <x v="1"/>
    <x v="2"/>
    <n v="122.8"/>
    <x v="19"/>
    <n v="12"/>
    <n v="1473.6"/>
    <x v="2"/>
    <x v="0"/>
    <x v="3"/>
    <s v="OKTEL"/>
    <x v="1"/>
    <x v="1"/>
    <x v="0"/>
    <x v="1"/>
  </r>
  <r>
    <s v="T-100598"/>
    <d v="2025-01-17T00:00:00"/>
    <s v="Afi Kossi"/>
    <x v="2"/>
    <x v="2"/>
    <n v="74.2"/>
    <x v="2"/>
    <n v="16"/>
    <n v="13174.279999999999"/>
    <x v="0"/>
    <x v="0"/>
    <x v="3"/>
    <s v="REVTEL"/>
    <x v="3"/>
    <x v="4"/>
    <x v="1"/>
    <x v="1"/>
  </r>
  <r>
    <s v="T-100599"/>
    <d v="2024-08-19T00:00:00"/>
    <s v="Mawuli Tete"/>
    <x v="3"/>
    <x v="4"/>
    <n v="551.79999999999995"/>
    <x v="10"/>
    <n v="7"/>
    <n v="3862.63"/>
    <x v="0"/>
    <x v="0"/>
    <x v="3"/>
    <s v="CHKTEL"/>
    <x v="4"/>
    <x v="3"/>
    <x v="0"/>
    <x v="0"/>
  </r>
  <r>
    <s v="T-100600"/>
    <d v="2024-12-20T00:00:00"/>
    <s v="Atsou Amouzou"/>
    <x v="2"/>
    <x v="4"/>
    <n v="204.04"/>
    <x v="16"/>
    <n v="8"/>
    <n v="1632.32"/>
    <x v="2"/>
    <x v="1"/>
    <x v="2"/>
    <s v="CHKÉNE"/>
    <x v="9"/>
    <x v="4"/>
    <x v="0"/>
    <x v="0"/>
  </r>
  <r>
    <s v="T-100601"/>
    <d v="2025-10-28T00:00:00"/>
    <s v="atsou lawson"/>
    <x v="4"/>
    <x v="3"/>
    <n v="46.05"/>
    <x v="18"/>
    <n v="13"/>
    <n v="598.62"/>
    <x v="2"/>
    <x v="0"/>
    <x v="1"/>
    <s v="OKEDU"/>
    <x v="0"/>
    <x v="1"/>
    <x v="0"/>
    <x v="1"/>
  </r>
  <r>
    <s v="T-100602"/>
    <d v="2025-01-26T00:00:00"/>
    <s v="akofa lawson"/>
    <x v="4"/>
    <x v="0"/>
    <n v="175.74"/>
    <x v="12"/>
    <n v="11"/>
    <n v="1933.13"/>
    <x v="0"/>
    <x v="0"/>
    <x v="1"/>
    <s v="CHKEDU"/>
    <x v="3"/>
    <x v="2"/>
    <x v="0"/>
    <x v="1"/>
  </r>
  <r>
    <s v="T-100603"/>
    <d v="2024-03-08T00:00:00"/>
    <s v="Kossi Lawson"/>
    <x v="4"/>
    <x v="3"/>
    <n v="138.31"/>
    <x v="14"/>
    <n v="12"/>
    <n v="1659.66"/>
    <x v="0"/>
    <x v="0"/>
    <x v="3"/>
    <s v="REVTEL"/>
    <x v="6"/>
    <x v="4"/>
    <x v="0"/>
    <x v="0"/>
  </r>
  <r>
    <s v="T-100604"/>
    <d v="2024-12-04T00:00:00"/>
    <s v="Kossi Gbogbo"/>
    <x v="0"/>
    <x v="4"/>
    <n v="12.05"/>
    <x v="8"/>
    <n v="126"/>
    <n v="1518.91"/>
    <x v="2"/>
    <x v="0"/>
    <x v="4"/>
    <s v="CHKFMC"/>
    <x v="9"/>
    <x v="5"/>
    <x v="0"/>
    <x v="0"/>
  </r>
  <r>
    <s v="T-100605"/>
    <d v="2025-06-28T00:00:00"/>
    <s v="Yawa Mensah"/>
    <x v="4"/>
    <x v="4"/>
    <n v="130.80000000000001"/>
    <x v="6"/>
    <n v="18"/>
    <n v="2354.4499999999998"/>
    <x v="0"/>
    <x v="0"/>
    <x v="0"/>
    <s v="CHKAGR"/>
    <x v="10"/>
    <x v="6"/>
    <x v="0"/>
    <x v="1"/>
  </r>
  <r>
    <s v="T-100606"/>
    <d v="2024-05-29T00:00:00"/>
    <s v="Elom Kpodo"/>
    <x v="0"/>
    <x v="4"/>
    <n v="2313.7199999999998"/>
    <x v="8"/>
    <n v="1"/>
    <n v="2313.7199999999998"/>
    <x v="2"/>
    <x v="1"/>
    <x v="0"/>
    <s v="REVAGR"/>
    <x v="7"/>
    <x v="5"/>
    <x v="0"/>
    <x v="0"/>
  </r>
  <r>
    <s v="T-100607"/>
    <d v="2025-01-11T00:00:00"/>
    <s v="Mawuli Mensah"/>
    <x v="1"/>
    <x v="3"/>
    <n v="175.03"/>
    <x v="9"/>
    <n v="17"/>
    <n v="2975.5"/>
    <x v="0"/>
    <x v="0"/>
    <x v="0"/>
    <s v="OKAGR"/>
    <x v="3"/>
    <x v="6"/>
    <x v="0"/>
    <x v="1"/>
  </r>
  <r>
    <s v="T-100608"/>
    <d v="2024-06-26T00:00:00"/>
    <s v="Mawuli Mensah"/>
    <x v="2"/>
    <x v="1"/>
    <n v="67.09"/>
    <x v="7"/>
    <n v="16"/>
    <n v="1073.46"/>
    <x v="1"/>
    <x v="0"/>
    <x v="2"/>
    <s v="OKÉNE"/>
    <x v="10"/>
    <x v="5"/>
    <x v="0"/>
    <x v="0"/>
  </r>
  <r>
    <s v="T-100609"/>
    <d v="2025-07-15T00:00:00"/>
    <s v="Kodjo Gbogbo"/>
    <x v="4"/>
    <x v="4"/>
    <n v="128.36000000000001"/>
    <x v="18"/>
    <n v="10"/>
    <n v="1283.5999999999999"/>
    <x v="0"/>
    <x v="1"/>
    <x v="4"/>
    <s v="OKFMC"/>
    <x v="5"/>
    <x v="1"/>
    <x v="0"/>
    <x v="1"/>
  </r>
  <r>
    <s v="T-100610"/>
    <d v="2024-12-19T00:00:00"/>
    <s v="Client Unknown"/>
    <x v="3"/>
    <x v="0"/>
    <n v="20.21"/>
    <x v="17"/>
    <n v="84"/>
    <n v="1698"/>
    <x v="2"/>
    <x v="0"/>
    <x v="4"/>
    <s v="OKFMC"/>
    <x v="9"/>
    <x v="0"/>
    <x v="0"/>
    <x v="0"/>
  </r>
  <r>
    <s v="T-100611"/>
    <d v="2024-02-12T00:00:00"/>
    <s v="Yawa Kpodo"/>
    <x v="3"/>
    <x v="2"/>
    <n v="44.45"/>
    <x v="17"/>
    <n v="11"/>
    <n v="489"/>
    <x v="0"/>
    <x v="0"/>
    <x v="0"/>
    <s v="REVAGR"/>
    <x v="8"/>
    <x v="3"/>
    <x v="0"/>
    <x v="0"/>
  </r>
  <r>
    <s v="T-100612"/>
    <d v="2024-03-02T00:00:00"/>
    <s v="Yawa Agbo"/>
    <x v="3"/>
    <x v="0"/>
    <n v="72.56"/>
    <x v="3"/>
    <n v="14"/>
    <n v="1015.84"/>
    <x v="0"/>
    <x v="0"/>
    <x v="1"/>
    <s v="REVEDU"/>
    <x v="6"/>
    <x v="6"/>
    <x v="0"/>
    <x v="0"/>
  </r>
  <r>
    <s v="T-100613"/>
    <d v="2024-08-17T00:00:00"/>
    <s v="Kossi Kpodo"/>
    <x v="0"/>
    <x v="0"/>
    <n v="81.56"/>
    <x v="8"/>
    <n v="16"/>
    <n v="1304.97"/>
    <x v="0"/>
    <x v="0"/>
    <x v="0"/>
    <s v="REVAGR"/>
    <x v="4"/>
    <x v="6"/>
    <x v="0"/>
    <x v="0"/>
  </r>
  <r>
    <s v="T-100614"/>
    <d v="2024-11-03T00:00:00"/>
    <s v="Client Unknown"/>
    <x v="2"/>
    <x v="0"/>
    <n v="174.63"/>
    <x v="2"/>
    <n v="10"/>
    <n v="1746.32"/>
    <x v="0"/>
    <x v="1"/>
    <x v="2"/>
    <s v="OKÉNE"/>
    <x v="11"/>
    <x v="2"/>
    <x v="0"/>
    <x v="0"/>
  </r>
  <r>
    <s v="T-100615"/>
    <d v="2024-03-22T00:00:00"/>
    <s v="Afi Agbo"/>
    <x v="0"/>
    <x v="4"/>
    <n v="116.91"/>
    <x v="0"/>
    <n v="13"/>
    <n v="1519.81"/>
    <x v="0"/>
    <x v="0"/>
    <x v="0"/>
    <s v="CHKAGR"/>
    <x v="6"/>
    <x v="4"/>
    <x v="0"/>
    <x v="0"/>
  </r>
  <r>
    <s v="T-100616"/>
    <d v="2024-12-26T00:00:00"/>
    <s v="Elom Gbogbo"/>
    <x v="1"/>
    <x v="1"/>
    <n v="131.9"/>
    <x v="9"/>
    <n v="10"/>
    <n v="1319"/>
    <x v="0"/>
    <x v="1"/>
    <x v="4"/>
    <s v="CHKFMC"/>
    <x v="9"/>
    <x v="0"/>
    <x v="0"/>
    <x v="0"/>
  </r>
  <r>
    <s v="T-100617"/>
    <d v="2025-02-16T00:00:00"/>
    <s v="Akofa Gbogbo"/>
    <x v="0"/>
    <x v="3"/>
    <n v="144.88"/>
    <x v="0"/>
    <n v="14"/>
    <n v="2028.37"/>
    <x v="0"/>
    <x v="0"/>
    <x v="4"/>
    <s v="CHKFMC"/>
    <x v="8"/>
    <x v="2"/>
    <x v="0"/>
    <x v="1"/>
  </r>
  <r>
    <s v="T-100618"/>
    <d v="2024-04-22T00:00:00"/>
    <s v="​Mawuli Mensah  "/>
    <x v="2"/>
    <x v="3"/>
    <n v="186.42"/>
    <x v="7"/>
    <n v="11"/>
    <n v="2050.66"/>
    <x v="0"/>
    <x v="0"/>
    <x v="1"/>
    <s v="OKEDU"/>
    <x v="1"/>
    <x v="3"/>
    <x v="0"/>
    <x v="0"/>
  </r>
  <r>
    <s v="T-100619"/>
    <d v="2025-10-06T00:00:00"/>
    <s v="Elom Lawson"/>
    <x v="2"/>
    <x v="3"/>
    <n v="142.91999999999999"/>
    <x v="2"/>
    <n v="13"/>
    <n v="1858"/>
    <x v="2"/>
    <x v="0"/>
    <x v="0"/>
    <s v="CHKAGR"/>
    <x v="0"/>
    <x v="3"/>
    <x v="0"/>
    <x v="1"/>
  </r>
  <r>
    <s v="T-100620"/>
    <d v="2024-03-31T00:00:00"/>
    <s v="Yawa Lawson"/>
    <x v="2"/>
    <x v="0"/>
    <n v="340.5"/>
    <x v="7"/>
    <n v="12"/>
    <n v="4086"/>
    <x v="0"/>
    <x v="0"/>
    <x v="3"/>
    <s v="CHKTEL"/>
    <x v="6"/>
    <x v="2"/>
    <x v="1"/>
    <x v="0"/>
  </r>
  <r>
    <s v="T-100621"/>
    <d v="2025-10-04T00:00:00"/>
    <s v="Afi Ayivi"/>
    <x v="3"/>
    <x v="1"/>
    <n v="75.48"/>
    <x v="3"/>
    <n v="15"/>
    <n v="1132.26"/>
    <x v="0"/>
    <x v="0"/>
    <x v="0"/>
    <s v="CHKAGR"/>
    <x v="0"/>
    <x v="6"/>
    <x v="0"/>
    <x v="1"/>
  </r>
  <r>
    <s v="T-100622"/>
    <d v="2024-02-16T00:00:00"/>
    <s v="Atsou Mensah"/>
    <x v="1"/>
    <x v="3"/>
    <n v="283.77"/>
    <x v="19"/>
    <n v="11"/>
    <n v="3121.52"/>
    <x v="0"/>
    <x v="0"/>
    <x v="0"/>
    <s v="CHKAGR"/>
    <x v="8"/>
    <x v="4"/>
    <x v="0"/>
    <x v="0"/>
  </r>
  <r>
    <s v="T-100623"/>
    <d v="2025-09-16T00:00:00"/>
    <s v="Mawuli Hounkpati"/>
    <x v="0"/>
    <x v="0"/>
    <n v="567.19000000000005"/>
    <x v="0"/>
    <n v="13"/>
    <n v="7373.48"/>
    <x v="0"/>
    <x v="0"/>
    <x v="4"/>
    <s v="OKFMC"/>
    <x v="2"/>
    <x v="1"/>
    <x v="1"/>
    <x v="1"/>
  </r>
  <r>
    <s v="T-100624"/>
    <d v="2025-07-30T00:00:00"/>
    <s v="Kodjo Lawson"/>
    <x v="1"/>
    <x v="2"/>
    <n v="110.8"/>
    <x v="1"/>
    <n v="10"/>
    <n v="1108"/>
    <x v="0"/>
    <x v="1"/>
    <x v="0"/>
    <s v="OKAGR"/>
    <x v="5"/>
    <x v="5"/>
    <x v="0"/>
    <x v="1"/>
  </r>
  <r>
    <s v="T-100625"/>
    <d v="2025-01-20T00:00:00"/>
    <s v="Atsou Kossi"/>
    <x v="3"/>
    <x v="3"/>
    <n v="227.43"/>
    <x v="17"/>
    <n v="13"/>
    <n v="2956.55"/>
    <x v="2"/>
    <x v="0"/>
    <x v="2"/>
    <s v="CHKÉNE"/>
    <x v="3"/>
    <x v="3"/>
    <x v="0"/>
    <x v="1"/>
  </r>
  <r>
    <s v="T-100626"/>
    <d v="2025-05-18T00:00:00"/>
    <s v="​Atsou Gbogbo  "/>
    <x v="0"/>
    <x v="3"/>
    <n v="376.41"/>
    <x v="0"/>
    <n v="13"/>
    <n v="4893.28"/>
    <x v="0"/>
    <x v="0"/>
    <x v="4"/>
    <s v="OKFMC"/>
    <x v="7"/>
    <x v="2"/>
    <x v="1"/>
    <x v="1"/>
  </r>
  <r>
    <s v="T-100627"/>
    <d v="2025-08-16T00:00:00"/>
    <s v="Akofa Gbogbo"/>
    <x v="0"/>
    <x v="1"/>
    <n v="70.31"/>
    <x v="0"/>
    <n v="10"/>
    <n v="703.07"/>
    <x v="0"/>
    <x v="1"/>
    <x v="4"/>
    <s v="OKFMC"/>
    <x v="4"/>
    <x v="6"/>
    <x v="0"/>
    <x v="1"/>
  </r>
  <r>
    <s v="T-100628"/>
    <d v="2025-09-23T00:00:00"/>
    <s v="Yawa Lawson"/>
    <x v="3"/>
    <x v="3"/>
    <n v="361.78"/>
    <x v="17"/>
    <n v="6"/>
    <n v="2170.65"/>
    <x v="0"/>
    <x v="1"/>
    <x v="2"/>
    <s v="REVÉNE"/>
    <x v="2"/>
    <x v="1"/>
    <x v="0"/>
    <x v="1"/>
  </r>
  <r>
    <s v="T-100629"/>
    <d v="2024-08-10T00:00:00"/>
    <s v="Atsou Mensah"/>
    <x v="3"/>
    <x v="4"/>
    <n v="99.86"/>
    <x v="15"/>
    <n v="14"/>
    <n v="1398"/>
    <x v="0"/>
    <x v="0"/>
    <x v="4"/>
    <s v="REVFMC"/>
    <x v="4"/>
    <x v="6"/>
    <x v="0"/>
    <x v="0"/>
  </r>
  <r>
    <s v="T-100630"/>
    <d v="2025-08-19T00:00:00"/>
    <s v="Afi Gbogbo"/>
    <x v="3"/>
    <x v="0"/>
    <n v="135.36000000000001"/>
    <x v="10"/>
    <n v="11"/>
    <n v="1488.93"/>
    <x v="0"/>
    <x v="0"/>
    <x v="4"/>
    <s v="CHKFMC"/>
    <x v="4"/>
    <x v="1"/>
    <x v="0"/>
    <x v="1"/>
  </r>
  <r>
    <s v="T-100631"/>
    <d v="2024-12-28T00:00:00"/>
    <s v="Atsou Lawson"/>
    <x v="3"/>
    <x v="3"/>
    <n v="140.36000000000001"/>
    <x v="20"/>
    <n v="16"/>
    <n v="2245.7199999999998"/>
    <x v="2"/>
    <x v="0"/>
    <x v="0"/>
    <s v="CHKAGR"/>
    <x v="9"/>
    <x v="6"/>
    <x v="0"/>
    <x v="0"/>
  </r>
  <r>
    <s v="T-100632"/>
    <d v="2025-06-23T00:00:00"/>
    <s v="Atsou Hounkpati"/>
    <x v="4"/>
    <x v="2"/>
    <n v="161.66999999999999"/>
    <x v="18"/>
    <n v="11"/>
    <n v="1778.38"/>
    <x v="0"/>
    <x v="0"/>
    <x v="1"/>
    <s v="OKEDU"/>
    <x v="10"/>
    <x v="3"/>
    <x v="0"/>
    <x v="1"/>
  </r>
  <r>
    <s v="T-100633"/>
    <d v="2024-08-17T00:00:00"/>
    <s v="Afi Kpodo"/>
    <x v="1"/>
    <x v="1"/>
    <n v="170.28"/>
    <x v="19"/>
    <n v="11"/>
    <n v="1873.08"/>
    <x v="0"/>
    <x v="0"/>
    <x v="3"/>
    <s v="OKTEL"/>
    <x v="4"/>
    <x v="6"/>
    <x v="0"/>
    <x v="0"/>
  </r>
  <r>
    <s v="T-100634"/>
    <d v="2024-07-31T00:00:00"/>
    <s v="​Yawa Lawson  "/>
    <x v="3"/>
    <x v="1"/>
    <n v="155.28"/>
    <x v="20"/>
    <n v="20"/>
    <n v="3105.56"/>
    <x v="2"/>
    <x v="0"/>
    <x v="2"/>
    <s v="REVÉNE"/>
    <x v="5"/>
    <x v="5"/>
    <x v="0"/>
    <x v="0"/>
  </r>
  <r>
    <s v="T-100635"/>
    <d v="2025-02-10T00:00:00"/>
    <s v="Akofa Kpodo"/>
    <x v="1"/>
    <x v="0"/>
    <n v="72.92"/>
    <x v="1"/>
    <n v="16"/>
    <n v="1166.72"/>
    <x v="1"/>
    <x v="0"/>
    <x v="4"/>
    <s v="OKFMC"/>
    <x v="8"/>
    <x v="3"/>
    <x v="0"/>
    <x v="1"/>
  </r>
  <r>
    <s v="T-100636"/>
    <d v="2024-12-16T00:00:00"/>
    <s v="Afi Hounkpati"/>
    <x v="3"/>
    <x v="1"/>
    <n v="153.16999999999999"/>
    <x v="3"/>
    <n v="8"/>
    <n v="1225.3599999999999"/>
    <x v="2"/>
    <x v="1"/>
    <x v="0"/>
    <s v="OKAGR"/>
    <x v="9"/>
    <x v="3"/>
    <x v="0"/>
    <x v="0"/>
  </r>
  <r>
    <s v="T-100637"/>
    <d v="2025-07-21T00:00:00"/>
    <s v="Eyram Ayivi"/>
    <x v="1"/>
    <x v="3"/>
    <n v="105.27"/>
    <x v="19"/>
    <n v="10"/>
    <n v="1052.6600000000001"/>
    <x v="1"/>
    <x v="1"/>
    <x v="2"/>
    <s v="OKÉNE"/>
    <x v="5"/>
    <x v="3"/>
    <x v="0"/>
    <x v="1"/>
  </r>
  <r>
    <s v="T-100638"/>
    <d v="2025-03-19T00:00:00"/>
    <s v="Atsou Kossi"/>
    <x v="4"/>
    <x v="4"/>
    <n v="67.989999999999995"/>
    <x v="12"/>
    <n v="14"/>
    <n v="951.87"/>
    <x v="0"/>
    <x v="0"/>
    <x v="1"/>
    <s v="OKEDU"/>
    <x v="6"/>
    <x v="5"/>
    <x v="0"/>
    <x v="1"/>
  </r>
  <r>
    <s v="T-100639"/>
    <d v="2025-06-01T00:00:00"/>
    <s v="Akofa Agbo"/>
    <x v="0"/>
    <x v="4"/>
    <n v="96.14"/>
    <x v="13"/>
    <n v="14"/>
    <n v="1346"/>
    <x v="0"/>
    <x v="0"/>
    <x v="2"/>
    <s v="CHKÉNE"/>
    <x v="10"/>
    <x v="2"/>
    <x v="0"/>
    <x v="1"/>
  </r>
  <r>
    <s v="T-100640"/>
    <d v="2024-01-11T00:00:00"/>
    <s v="Kossi Kpodo"/>
    <x v="0"/>
    <x v="0"/>
    <n v="195.64"/>
    <x v="13"/>
    <n v="14"/>
    <n v="2739"/>
    <x v="0"/>
    <x v="0"/>
    <x v="4"/>
    <s v="OKFMC"/>
    <x v="3"/>
    <x v="0"/>
    <x v="0"/>
    <x v="0"/>
  </r>
  <r>
    <s v="T-100641"/>
    <d v="2024-03-11T00:00:00"/>
    <s v="Afi Tete"/>
    <x v="0"/>
    <x v="4"/>
    <n v="182.96"/>
    <x v="5"/>
    <n v="15"/>
    <n v="2744.45"/>
    <x v="0"/>
    <x v="0"/>
    <x v="3"/>
    <s v="OKTEL"/>
    <x v="6"/>
    <x v="3"/>
    <x v="0"/>
    <x v="0"/>
  </r>
  <r>
    <s v="T-100642"/>
    <d v="2025-08-07T00:00:00"/>
    <s v="Atsou Agbo"/>
    <x v="3"/>
    <x v="3"/>
    <n v="83.12"/>
    <x v="3"/>
    <n v="12"/>
    <n v="997.46"/>
    <x v="0"/>
    <x v="0"/>
    <x v="3"/>
    <s v="REVTEL"/>
    <x v="4"/>
    <x v="0"/>
    <x v="0"/>
    <x v="1"/>
  </r>
  <r>
    <s v="T-100643"/>
    <d v="2025-04-24T00:00:00"/>
    <s v="Akofa Ayivi"/>
    <x v="3"/>
    <x v="2"/>
    <n v="2141.5700000000002"/>
    <x v="15"/>
    <n v="1"/>
    <n v="2141.5700000000002"/>
    <x v="1"/>
    <x v="1"/>
    <x v="1"/>
    <s v="CHKEDU"/>
    <x v="1"/>
    <x v="0"/>
    <x v="0"/>
    <x v="1"/>
  </r>
  <r>
    <s v="T-100644"/>
    <d v="2024-03-13T00:00:00"/>
    <s v="Atsou Tete"/>
    <x v="2"/>
    <x v="4"/>
    <n v="348.95"/>
    <x v="4"/>
    <n v="10"/>
    <n v="3489.51"/>
    <x v="0"/>
    <x v="0"/>
    <x v="1"/>
    <s v="REVEDU"/>
    <x v="6"/>
    <x v="5"/>
    <x v="0"/>
    <x v="0"/>
  </r>
  <r>
    <s v="T-100645"/>
    <d v="2024-01-09T00:00:00"/>
    <s v="akofa kossi"/>
    <x v="0"/>
    <x v="4"/>
    <n v="173.85"/>
    <x v="8"/>
    <n v="8"/>
    <n v="1390.78"/>
    <x v="0"/>
    <x v="1"/>
    <x v="2"/>
    <s v="OKÉNE"/>
    <x v="3"/>
    <x v="1"/>
    <x v="0"/>
    <x v="0"/>
  </r>
  <r>
    <s v="T-100646"/>
    <d v="2025-07-15T00:00:00"/>
    <s v="Sena Amouzou"/>
    <x v="4"/>
    <x v="2"/>
    <n v="222.53"/>
    <x v="18"/>
    <n v="8"/>
    <n v="1780.28"/>
    <x v="1"/>
    <x v="1"/>
    <x v="4"/>
    <s v="OKFMC"/>
    <x v="5"/>
    <x v="1"/>
    <x v="0"/>
    <x v="1"/>
  </r>
  <r>
    <s v="T-100647"/>
    <d v="2025-02-05T00:00:00"/>
    <s v="Elom Amouzou"/>
    <x v="4"/>
    <x v="3"/>
    <n v="123.31"/>
    <x v="6"/>
    <n v="8"/>
    <n v="986.47"/>
    <x v="2"/>
    <x v="1"/>
    <x v="2"/>
    <s v="CHKÉNE"/>
    <x v="8"/>
    <x v="5"/>
    <x v="0"/>
    <x v="1"/>
  </r>
  <r>
    <s v="T-100648"/>
    <d v="2024-10-31T00:00:00"/>
    <s v="Afi Gbogbo"/>
    <x v="2"/>
    <x v="4"/>
    <n v="82.49"/>
    <x v="2"/>
    <n v="14"/>
    <n v="1154.8699999999999"/>
    <x v="0"/>
    <x v="0"/>
    <x v="4"/>
    <s v="CHKFMC"/>
    <x v="0"/>
    <x v="0"/>
    <x v="0"/>
    <x v="0"/>
  </r>
  <r>
    <s v="T-100649"/>
    <d v="2024-11-15T00:00:00"/>
    <s v="Kodjo Lawson"/>
    <x v="0"/>
    <x v="3"/>
    <n v="158.44999999999999"/>
    <x v="13"/>
    <n v="10"/>
    <n v="1584.48"/>
    <x v="0"/>
    <x v="1"/>
    <x v="2"/>
    <s v="REVÉNE"/>
    <x v="11"/>
    <x v="4"/>
    <x v="0"/>
    <x v="0"/>
  </r>
  <r>
    <s v="T-100650"/>
    <d v="2025-02-25T00:00:00"/>
    <s v="Afi Tete"/>
    <x v="0"/>
    <x v="2"/>
    <n v="18.98"/>
    <x v="0"/>
    <n v="98"/>
    <n v="1860.46"/>
    <x v="2"/>
    <x v="0"/>
    <x v="4"/>
    <s v="CHKFMC"/>
    <x v="8"/>
    <x v="1"/>
    <x v="0"/>
    <x v="1"/>
  </r>
  <r>
    <s v="T-100651"/>
    <d v="2025-07-02T00:00:00"/>
    <s v="Elom Agbo"/>
    <x v="4"/>
    <x v="0"/>
    <n v="426.63"/>
    <x v="12"/>
    <n v="10"/>
    <n v="4266.29"/>
    <x v="0"/>
    <x v="0"/>
    <x v="3"/>
    <s v="OKTEL"/>
    <x v="5"/>
    <x v="5"/>
    <x v="1"/>
    <x v="1"/>
  </r>
  <r>
    <s v="T-100652"/>
    <d v="2025-05-08T00:00:00"/>
    <s v="Elom Tete"/>
    <x v="3"/>
    <x v="3"/>
    <n v="74.84"/>
    <x v="3"/>
    <n v="12"/>
    <n v="898.13"/>
    <x v="0"/>
    <x v="0"/>
    <x v="1"/>
    <s v="CHKEDU"/>
    <x v="7"/>
    <x v="0"/>
    <x v="0"/>
    <x v="1"/>
  </r>
  <r>
    <s v="T-100653"/>
    <d v="2024-06-23T00:00:00"/>
    <s v="Kossi Lawson"/>
    <x v="2"/>
    <x v="4"/>
    <n v="72.81"/>
    <x v="2"/>
    <n v="16"/>
    <n v="1165"/>
    <x v="0"/>
    <x v="0"/>
    <x v="4"/>
    <s v="CHKFMC"/>
    <x v="10"/>
    <x v="2"/>
    <x v="0"/>
    <x v="0"/>
  </r>
  <r>
    <s v="T-100654"/>
    <d v="2024-05-18T00:00:00"/>
    <s v="Afi Agbo"/>
    <x v="3"/>
    <x v="0"/>
    <n v="258.95"/>
    <x v="3"/>
    <n v="13"/>
    <n v="3366.33"/>
    <x v="0"/>
    <x v="0"/>
    <x v="2"/>
    <s v="CHKÉNE"/>
    <x v="7"/>
    <x v="6"/>
    <x v="0"/>
    <x v="0"/>
  </r>
  <r>
    <s v="T-100655"/>
    <d v="2024-12-13T00:00:00"/>
    <s v="​akofa mensah  "/>
    <x v="4"/>
    <x v="2"/>
    <n v="115.04"/>
    <x v="12"/>
    <n v="11"/>
    <n v="1265.48"/>
    <x v="0"/>
    <x v="0"/>
    <x v="3"/>
    <s v="OKTEL"/>
    <x v="9"/>
    <x v="4"/>
    <x v="0"/>
    <x v="0"/>
  </r>
  <r>
    <s v="T-100656"/>
    <d v="2025-07-11T00:00:00"/>
    <s v="Mawuli Hounkpati"/>
    <x v="2"/>
    <x v="2"/>
    <n v="155"/>
    <x v="16"/>
    <n v="11"/>
    <n v="1705"/>
    <x v="0"/>
    <x v="0"/>
    <x v="2"/>
    <s v="REVÉNE"/>
    <x v="5"/>
    <x v="4"/>
    <x v="0"/>
    <x v="1"/>
  </r>
  <r>
    <s v="T-100657"/>
    <d v="2024-06-24T00:00:00"/>
    <s v="eyram kossi"/>
    <x v="1"/>
    <x v="3"/>
    <n v="141.06"/>
    <x v="19"/>
    <n v="16"/>
    <n v="2256.89"/>
    <x v="2"/>
    <x v="0"/>
    <x v="4"/>
    <s v="REVFMC"/>
    <x v="10"/>
    <x v="3"/>
    <x v="0"/>
    <x v="0"/>
  </r>
  <r>
    <s v="T-100658"/>
    <d v="2025-02-07T00:00:00"/>
    <s v="Eyram Lawson"/>
    <x v="1"/>
    <x v="4"/>
    <n v="256.22000000000003"/>
    <x v="19"/>
    <n v="9"/>
    <n v="2306"/>
    <x v="0"/>
    <x v="1"/>
    <x v="4"/>
    <s v="OKFMC"/>
    <x v="8"/>
    <x v="4"/>
    <x v="0"/>
    <x v="1"/>
  </r>
  <r>
    <s v="T-100659"/>
    <d v="2024-09-14T00:00:00"/>
    <s v="Mawuli Mensah"/>
    <x v="4"/>
    <x v="0"/>
    <n v="264.02999999999997"/>
    <x v="12"/>
    <n v="11"/>
    <n v="2904.32"/>
    <x v="2"/>
    <x v="0"/>
    <x v="1"/>
    <s v="CHKEDU"/>
    <x v="2"/>
    <x v="6"/>
    <x v="0"/>
    <x v="0"/>
  </r>
  <r>
    <s v="T-100660"/>
    <d v="2025-07-12T00:00:00"/>
    <s v="Afi Kossi"/>
    <x v="3"/>
    <x v="1"/>
    <n v="1563.43"/>
    <x v="20"/>
    <n v="1"/>
    <n v="1563.43"/>
    <x v="2"/>
    <x v="1"/>
    <x v="1"/>
    <s v="REVEDU"/>
    <x v="5"/>
    <x v="6"/>
    <x v="0"/>
    <x v="1"/>
  </r>
  <r>
    <s v="T-100661"/>
    <d v="2024-03-21T00:00:00"/>
    <s v="Sena Kpodo"/>
    <x v="3"/>
    <x v="4"/>
    <n v="227.49"/>
    <x v="10"/>
    <n v="9"/>
    <n v="2047.37"/>
    <x v="0"/>
    <x v="1"/>
    <x v="1"/>
    <s v="CHKEDU"/>
    <x v="6"/>
    <x v="0"/>
    <x v="0"/>
    <x v="0"/>
  </r>
  <r>
    <s v="T-100662"/>
    <d v="2025-02-06T00:00:00"/>
    <s v="Afi Hounkpati"/>
    <x v="1"/>
    <x v="2"/>
    <n v="424.93"/>
    <x v="1"/>
    <n v="12"/>
    <n v="5099.17"/>
    <x v="0"/>
    <x v="0"/>
    <x v="2"/>
    <s v="REVÉNE"/>
    <x v="8"/>
    <x v="0"/>
    <x v="1"/>
    <x v="1"/>
  </r>
  <r>
    <s v="T-100663"/>
    <d v="2025-07-11T00:00:00"/>
    <s v="Kodjo Mensah"/>
    <x v="4"/>
    <x v="3"/>
    <n v="119.52"/>
    <x v="12"/>
    <n v="14"/>
    <n v="1673.21"/>
    <x v="0"/>
    <x v="0"/>
    <x v="1"/>
    <s v="OKEDU"/>
    <x v="5"/>
    <x v="4"/>
    <x v="0"/>
    <x v="1"/>
  </r>
  <r>
    <s v="T-100664"/>
    <d v="2024-03-06T00:00:00"/>
    <s v="Sena Gbogbo"/>
    <x v="4"/>
    <x v="4"/>
    <n v="102.88"/>
    <x v="18"/>
    <n v="17"/>
    <n v="166.2715"/>
    <x v="0"/>
    <x v="0"/>
    <x v="3"/>
    <s v="REVTEL"/>
    <x v="6"/>
    <x v="5"/>
    <x v="0"/>
    <x v="0"/>
  </r>
  <r>
    <s v="T-100665"/>
    <d v="2024-01-15T00:00:00"/>
    <s v="Kossi Amouzou"/>
    <x v="0"/>
    <x v="1"/>
    <n v="217.42"/>
    <x v="5"/>
    <n v="8"/>
    <n v="1739.38"/>
    <x v="2"/>
    <x v="1"/>
    <x v="1"/>
    <s v="OKEDU"/>
    <x v="3"/>
    <x v="3"/>
    <x v="0"/>
    <x v="0"/>
  </r>
  <r>
    <s v="T-100666"/>
    <d v="2024-05-09T00:00:00"/>
    <s v="Sena Hounkpati"/>
    <x v="2"/>
    <x v="1"/>
    <n v="190.25"/>
    <x v="2"/>
    <n v="13"/>
    <n v="2473.29"/>
    <x v="2"/>
    <x v="0"/>
    <x v="4"/>
    <s v="CHKFMC"/>
    <x v="7"/>
    <x v="0"/>
    <x v="0"/>
    <x v="0"/>
  </r>
  <r>
    <s v="T-100667"/>
    <d v="2025-08-18T00:00:00"/>
    <s v="Elom Kossi"/>
    <x v="4"/>
    <x v="1"/>
    <n v="264.16000000000003"/>
    <x v="18"/>
    <n v="16"/>
    <n v="4226.5600000000004"/>
    <x v="0"/>
    <x v="0"/>
    <x v="3"/>
    <s v="OKTEL"/>
    <x v="4"/>
    <x v="3"/>
    <x v="1"/>
    <x v="1"/>
  </r>
  <r>
    <s v="T-100668"/>
    <d v="2025-05-20T00:00:00"/>
    <s v="Atsou Gbogbo"/>
    <x v="4"/>
    <x v="1"/>
    <n v="126.02"/>
    <x v="6"/>
    <n v="6"/>
    <n v="756.14"/>
    <x v="2"/>
    <x v="1"/>
    <x v="1"/>
    <s v="CHKEDU"/>
    <x v="7"/>
    <x v="1"/>
    <x v="0"/>
    <x v="1"/>
  </r>
  <r>
    <s v="T-100669"/>
    <d v="2024-11-26T00:00:00"/>
    <s v="afi agbo"/>
    <x v="0"/>
    <x v="2"/>
    <n v="41.89"/>
    <x v="8"/>
    <n v="15"/>
    <n v="628.39"/>
    <x v="0"/>
    <x v="0"/>
    <x v="4"/>
    <s v="OKFMC"/>
    <x v="11"/>
    <x v="1"/>
    <x v="0"/>
    <x v="0"/>
  </r>
  <r>
    <s v="T-100670"/>
    <d v="2025-04-12T00:00:00"/>
    <s v="Akofa Kossi"/>
    <x v="0"/>
    <x v="1"/>
    <n v="394.5"/>
    <x v="0"/>
    <n v="14"/>
    <n v="5523"/>
    <x v="0"/>
    <x v="0"/>
    <x v="4"/>
    <s v="REVFMC"/>
    <x v="1"/>
    <x v="6"/>
    <x v="1"/>
    <x v="1"/>
  </r>
  <r>
    <s v="T-100671"/>
    <d v="2024-06-28T00:00:00"/>
    <s v="Afi Mensah"/>
    <x v="4"/>
    <x v="0"/>
    <n v="129.76"/>
    <x v="18"/>
    <n v="8"/>
    <n v="1038.1099999999999"/>
    <x v="0"/>
    <x v="1"/>
    <x v="1"/>
    <s v="CHKEDU"/>
    <x v="10"/>
    <x v="4"/>
    <x v="0"/>
    <x v="0"/>
  </r>
  <r>
    <s v="T-100672"/>
    <d v="2025-05-06T00:00:00"/>
    <s v="Sena Agbo"/>
    <x v="4"/>
    <x v="3"/>
    <n v="173.26"/>
    <x v="14"/>
    <n v="17"/>
    <n v="2945.48"/>
    <x v="0"/>
    <x v="0"/>
    <x v="0"/>
    <s v="CHKAGR"/>
    <x v="7"/>
    <x v="1"/>
    <x v="0"/>
    <x v="1"/>
  </r>
  <r>
    <s v="T-100673"/>
    <d v="2024-10-18T00:00:00"/>
    <s v="Elom Ayivi"/>
    <x v="2"/>
    <x v="4"/>
    <n v="68.03"/>
    <x v="2"/>
    <n v="13"/>
    <n v="884.42"/>
    <x v="0"/>
    <x v="0"/>
    <x v="2"/>
    <s v="OKÉNE"/>
    <x v="0"/>
    <x v="4"/>
    <x v="0"/>
    <x v="0"/>
  </r>
  <r>
    <s v="T-100674"/>
    <d v="2025-02-09T00:00:00"/>
    <s v="Kossi Lawson"/>
    <x v="1"/>
    <x v="1"/>
    <n v="52.38"/>
    <x v="9"/>
    <n v="20"/>
    <n v="1047.6300000000001"/>
    <x v="0"/>
    <x v="0"/>
    <x v="2"/>
    <s v="OKÉNE"/>
    <x v="8"/>
    <x v="2"/>
    <x v="0"/>
    <x v="1"/>
  </r>
  <r>
    <s v="T-100675"/>
    <d v="2025-02-01T00:00:00"/>
    <s v="Afi Gbogbo"/>
    <x v="4"/>
    <x v="4"/>
    <n v="47.77"/>
    <x v="18"/>
    <n v="14"/>
    <n v="668.81"/>
    <x v="0"/>
    <x v="0"/>
    <x v="3"/>
    <s v="OKTEL"/>
    <x v="8"/>
    <x v="6"/>
    <x v="0"/>
    <x v="1"/>
  </r>
  <r>
    <s v="T-100676"/>
    <d v="2024-06-21T00:00:00"/>
    <s v="Sena Kpodo"/>
    <x v="4"/>
    <x v="2"/>
    <n v="115.02"/>
    <x v="18"/>
    <n v="19"/>
    <n v="2185.44"/>
    <x v="2"/>
    <x v="0"/>
    <x v="1"/>
    <s v="REVEDU"/>
    <x v="10"/>
    <x v="4"/>
    <x v="0"/>
    <x v="0"/>
  </r>
  <r>
    <s v="T-100677"/>
    <d v="2024-08-23T00:00:00"/>
    <s v="Kossi Hounkpati"/>
    <x v="2"/>
    <x v="2"/>
    <n v="158.63"/>
    <x v="2"/>
    <n v="16"/>
    <n v="2538.09"/>
    <x v="0"/>
    <x v="0"/>
    <x v="4"/>
    <s v="REVFMC"/>
    <x v="4"/>
    <x v="4"/>
    <x v="0"/>
    <x v="0"/>
  </r>
  <r>
    <s v="T-100678"/>
    <d v="2025-01-27T00:00:00"/>
    <s v="Elom Lawson"/>
    <x v="0"/>
    <x v="3"/>
    <n v="340.05"/>
    <x v="8"/>
    <n v="11"/>
    <n v="3740.56"/>
    <x v="0"/>
    <x v="0"/>
    <x v="4"/>
    <s v="OKFMC"/>
    <x v="3"/>
    <x v="3"/>
    <x v="0"/>
    <x v="1"/>
  </r>
  <r>
    <s v="T-100679"/>
    <d v="2025-06-27T00:00:00"/>
    <s v="Akofa Kpodo"/>
    <x v="2"/>
    <x v="0"/>
    <n v="227.47"/>
    <x v="7"/>
    <n v="10"/>
    <n v="2274.75"/>
    <x v="2"/>
    <x v="1"/>
    <x v="3"/>
    <s v="OKTEL"/>
    <x v="10"/>
    <x v="4"/>
    <x v="0"/>
    <x v="1"/>
  </r>
  <r>
    <s v="T-100680"/>
    <d v="2024-03-22T00:00:00"/>
    <s v="Kodjo Amouzou"/>
    <x v="1"/>
    <x v="2"/>
    <n v="108.34"/>
    <x v="1"/>
    <n v="20"/>
    <n v="2166.7199999999998"/>
    <x v="0"/>
    <x v="0"/>
    <x v="1"/>
    <s v="OKEDU"/>
    <x v="6"/>
    <x v="4"/>
    <x v="0"/>
    <x v="0"/>
  </r>
  <r>
    <s v="T-100681"/>
    <d v="2024-06-04T00:00:00"/>
    <s v="Akofa Kpodo"/>
    <x v="1"/>
    <x v="4"/>
    <n v="98.54"/>
    <x v="19"/>
    <n v="17"/>
    <n v="1675.16"/>
    <x v="0"/>
    <x v="0"/>
    <x v="2"/>
    <s v="CHKÉNE"/>
    <x v="10"/>
    <x v="1"/>
    <x v="0"/>
    <x v="0"/>
  </r>
  <r>
    <s v="T-100682"/>
    <d v="2024-04-29T00:00:00"/>
    <s v="Atsou Lawson"/>
    <x v="3"/>
    <x v="3"/>
    <n v="9.1999999999999993"/>
    <x v="3"/>
    <n v="61"/>
    <n v="561.38"/>
    <x v="0"/>
    <x v="0"/>
    <x v="2"/>
    <s v="CHKÉNE"/>
    <x v="1"/>
    <x v="3"/>
    <x v="0"/>
    <x v="0"/>
  </r>
  <r>
    <s v="T-100683"/>
    <d v="2025-07-06T00:00:00"/>
    <s v="sena kossi"/>
    <x v="2"/>
    <x v="2"/>
    <n v="74.489999999999995"/>
    <x v="4"/>
    <n v="12"/>
    <n v="893.88"/>
    <x v="0"/>
    <x v="0"/>
    <x v="1"/>
    <s v="CHKEDU"/>
    <x v="5"/>
    <x v="2"/>
    <x v="0"/>
    <x v="1"/>
  </r>
  <r>
    <s v="T-100684"/>
    <d v="2025-07-07T00:00:00"/>
    <s v="afi gbogbo"/>
    <x v="2"/>
    <x v="0"/>
    <n v="1108.71"/>
    <x v="2"/>
    <n v="1"/>
    <n v="1108.71"/>
    <x v="2"/>
    <x v="1"/>
    <x v="4"/>
    <s v="OKFMC"/>
    <x v="5"/>
    <x v="3"/>
    <x v="0"/>
    <x v="1"/>
  </r>
  <r>
    <s v="T-100685"/>
    <d v="2024-06-16T00:00:00"/>
    <s v="Mawuli Lawson"/>
    <x v="0"/>
    <x v="1"/>
    <n v="2312.73"/>
    <x v="5"/>
    <n v="1"/>
    <n v="2312.73"/>
    <x v="0"/>
    <x v="1"/>
    <x v="4"/>
    <s v="CHKFMC"/>
    <x v="10"/>
    <x v="2"/>
    <x v="0"/>
    <x v="0"/>
  </r>
  <r>
    <s v="T-100686"/>
    <d v="2025-03-23T00:00:00"/>
    <s v="Akofa Agbo"/>
    <x v="2"/>
    <x v="1"/>
    <n v="331.99"/>
    <x v="4"/>
    <n v="11"/>
    <n v="3651.94"/>
    <x v="0"/>
    <x v="0"/>
    <x v="3"/>
    <s v="CHKTEL"/>
    <x v="6"/>
    <x v="2"/>
    <x v="0"/>
    <x v="1"/>
  </r>
  <r>
    <s v="T-100687"/>
    <d v="2025-03-12T00:00:00"/>
    <s v="Eyram Hounkpati"/>
    <x v="1"/>
    <x v="2"/>
    <n v="108.64"/>
    <x v="11"/>
    <n v="16"/>
    <n v="1738.25"/>
    <x v="2"/>
    <x v="0"/>
    <x v="0"/>
    <s v="CHKAGR"/>
    <x v="6"/>
    <x v="5"/>
    <x v="0"/>
    <x v="1"/>
  </r>
  <r>
    <s v="T-100688"/>
    <d v="2024-06-23T00:00:00"/>
    <s v="sena lawson"/>
    <x v="4"/>
    <x v="3"/>
    <n v="58.92"/>
    <x v="6"/>
    <n v="12"/>
    <n v="707"/>
    <x v="0"/>
    <x v="0"/>
    <x v="1"/>
    <s v="REVEDU"/>
    <x v="10"/>
    <x v="2"/>
    <x v="0"/>
    <x v="0"/>
  </r>
  <r>
    <s v="T-100689"/>
    <d v="2024-04-19T00:00:00"/>
    <s v="Afi Gbogbo"/>
    <x v="4"/>
    <x v="1"/>
    <n v="14.1"/>
    <x v="6"/>
    <n v="71"/>
    <n v="1001"/>
    <x v="2"/>
    <x v="0"/>
    <x v="4"/>
    <s v="CHKFMC"/>
    <x v="1"/>
    <x v="4"/>
    <x v="0"/>
    <x v="0"/>
  </r>
  <r>
    <s v="T-100690"/>
    <d v="2024-04-01T00:00:00"/>
    <s v="Eyram Agbo"/>
    <x v="2"/>
    <x v="3"/>
    <n v="101.66"/>
    <x v="7"/>
    <n v="10"/>
    <n v="1016.55"/>
    <x v="0"/>
    <x v="1"/>
    <x v="0"/>
    <s v="CHKAGR"/>
    <x v="1"/>
    <x v="3"/>
    <x v="0"/>
    <x v="0"/>
  </r>
  <r>
    <s v="T-100691"/>
    <d v="2024-07-03T00:00:00"/>
    <s v="Mawuli Agbo"/>
    <x v="2"/>
    <x v="4"/>
    <n v="208.06"/>
    <x v="4"/>
    <n v="9"/>
    <n v="1872.57"/>
    <x v="1"/>
    <x v="1"/>
    <x v="4"/>
    <s v="OKFMC"/>
    <x v="5"/>
    <x v="5"/>
    <x v="0"/>
    <x v="0"/>
  </r>
  <r>
    <s v="T-100692"/>
    <d v="2024-11-12T00:00:00"/>
    <s v="Sena Lawson"/>
    <x v="3"/>
    <x v="4"/>
    <n v="205.64"/>
    <x v="10"/>
    <n v="14"/>
    <n v="2879"/>
    <x v="0"/>
    <x v="0"/>
    <x v="0"/>
    <s v="OKAGR"/>
    <x v="11"/>
    <x v="1"/>
    <x v="0"/>
    <x v="0"/>
  </r>
  <r>
    <s v="T-100693"/>
    <d v="2024-10-23T00:00:00"/>
    <s v="Elom Kpodo"/>
    <x v="0"/>
    <x v="0"/>
    <n v="220.94"/>
    <x v="13"/>
    <n v="10"/>
    <n v="2209.4499999999998"/>
    <x v="1"/>
    <x v="1"/>
    <x v="4"/>
    <s v="OKFMC"/>
    <x v="0"/>
    <x v="5"/>
    <x v="0"/>
    <x v="0"/>
  </r>
  <r>
    <s v="T-100694"/>
    <d v="2024-06-24T00:00:00"/>
    <s v="Elom Kossi"/>
    <x v="2"/>
    <x v="0"/>
    <n v="3330"/>
    <x v="7"/>
    <n v="0"/>
    <n v="0"/>
    <x v="1"/>
    <x v="1"/>
    <x v="3"/>
    <s v="OKTEL"/>
    <x v="10"/>
    <x v="3"/>
    <x v="0"/>
    <x v="0"/>
  </r>
  <r>
    <s v="T-100695"/>
    <d v="2024-08-11T00:00:00"/>
    <s v="Elom Agbo"/>
    <x v="4"/>
    <x v="1"/>
    <n v="53.9"/>
    <x v="18"/>
    <n v="15"/>
    <n v="808.5"/>
    <x v="0"/>
    <x v="0"/>
    <x v="4"/>
    <s v="CHKFMC"/>
    <x v="4"/>
    <x v="2"/>
    <x v="0"/>
    <x v="0"/>
  </r>
  <r>
    <s v="T-100696"/>
    <d v="2024-12-01T00:00:00"/>
    <s v="sena tete"/>
    <x v="1"/>
    <x v="1"/>
    <n v="134.91999999999999"/>
    <x v="9"/>
    <n v="12"/>
    <n v="1619"/>
    <x v="0"/>
    <x v="0"/>
    <x v="3"/>
    <s v="REVTEL"/>
    <x v="9"/>
    <x v="2"/>
    <x v="0"/>
    <x v="0"/>
  </r>
  <r>
    <s v="T-100697"/>
    <d v="2025-04-22T00:00:00"/>
    <s v="​elom mensah  "/>
    <x v="0"/>
    <x v="2"/>
    <n v="81.430000000000007"/>
    <x v="5"/>
    <n v="10"/>
    <n v="814.29"/>
    <x v="0"/>
    <x v="1"/>
    <x v="2"/>
    <s v="OKÉNE"/>
    <x v="1"/>
    <x v="1"/>
    <x v="0"/>
    <x v="1"/>
  </r>
  <r>
    <s v="T-100698"/>
    <d v="2025-02-04T00:00:00"/>
    <s v="Kossi Mensah"/>
    <x v="2"/>
    <x v="3"/>
    <n v="182.6"/>
    <x v="4"/>
    <n v="0"/>
    <n v="0"/>
    <x v="2"/>
    <x v="1"/>
    <x v="4"/>
    <s v="REVFMC"/>
    <x v="8"/>
    <x v="1"/>
    <x v="0"/>
    <x v="1"/>
  </r>
  <r>
    <s v="T-100699"/>
    <d v="2025-06-27T00:00:00"/>
    <s v="Akofa Amouzou"/>
    <x v="3"/>
    <x v="3"/>
    <n v="121.59"/>
    <x v="17"/>
    <n v="14"/>
    <n v="1702.32"/>
    <x v="0"/>
    <x v="0"/>
    <x v="2"/>
    <s v="REVÉNE"/>
    <x v="10"/>
    <x v="4"/>
    <x v="0"/>
    <x v="1"/>
  </r>
  <r>
    <s v="T-100700"/>
    <d v="2024-04-16T00:00:00"/>
    <s v="Eyram Agbo"/>
    <x v="2"/>
    <x v="4"/>
    <n v="2527.66"/>
    <x v="16"/>
    <n v="0"/>
    <n v="0"/>
    <x v="0"/>
    <x v="1"/>
    <x v="3"/>
    <s v="CHKTEL"/>
    <x v="1"/>
    <x v="1"/>
    <x v="0"/>
    <x v="0"/>
  </r>
  <r>
    <s v="T-100701"/>
    <d v="2024-04-12T00:00:00"/>
    <s v="Atsou Tete"/>
    <x v="4"/>
    <x v="2"/>
    <n v="89.27"/>
    <x v="18"/>
    <n v="15"/>
    <n v="1339"/>
    <x v="0"/>
    <x v="0"/>
    <x v="2"/>
    <s v="REVÉNE"/>
    <x v="1"/>
    <x v="4"/>
    <x v="0"/>
    <x v="0"/>
  </r>
  <r>
    <s v="T-100702"/>
    <d v="2024-01-19T00:00:00"/>
    <s v="​Sena Lawson  "/>
    <x v="0"/>
    <x v="3"/>
    <n v="195.09"/>
    <x v="0"/>
    <n v="9"/>
    <n v="1755.82"/>
    <x v="0"/>
    <x v="1"/>
    <x v="1"/>
    <s v="REVEDU"/>
    <x v="3"/>
    <x v="4"/>
    <x v="0"/>
    <x v="0"/>
  </r>
  <r>
    <s v="T-100703"/>
    <d v="2024-03-10T00:00:00"/>
    <s v="Yawa Tete"/>
    <x v="2"/>
    <x v="0"/>
    <n v="136.86000000000001"/>
    <x v="16"/>
    <n v="10"/>
    <n v="1368.6000000000001"/>
    <x v="1"/>
    <x v="1"/>
    <x v="2"/>
    <s v="CHKÉNE"/>
    <x v="6"/>
    <x v="2"/>
    <x v="0"/>
    <x v="0"/>
  </r>
  <r>
    <s v="T-100704"/>
    <d v="2025-10-30T00:00:00"/>
    <s v="Kossi Ayivi"/>
    <x v="3"/>
    <x v="3"/>
    <n v="306.8"/>
    <x v="3"/>
    <n v="15"/>
    <n v="4601.93"/>
    <x v="0"/>
    <x v="0"/>
    <x v="3"/>
    <s v="REVTEL"/>
    <x v="0"/>
    <x v="0"/>
    <x v="1"/>
    <x v="1"/>
  </r>
  <r>
    <s v="T-100705"/>
    <d v="2025-07-14T00:00:00"/>
    <s v="atsou kossi"/>
    <x v="1"/>
    <x v="2"/>
    <n v="52.13"/>
    <x v="9"/>
    <n v="20"/>
    <n v="1042.67"/>
    <x v="2"/>
    <x v="0"/>
    <x v="0"/>
    <s v="OKAGR"/>
    <x v="5"/>
    <x v="3"/>
    <x v="0"/>
    <x v="1"/>
  </r>
  <r>
    <s v="T-100706"/>
    <d v="2025-05-21T00:00:00"/>
    <s v="Elom Ayivi"/>
    <x v="2"/>
    <x v="4"/>
    <n v="230.22"/>
    <x v="16"/>
    <n v="13"/>
    <n v="2992.82"/>
    <x v="0"/>
    <x v="0"/>
    <x v="4"/>
    <s v="REVFMC"/>
    <x v="7"/>
    <x v="5"/>
    <x v="0"/>
    <x v="1"/>
  </r>
  <r>
    <s v="T-100707"/>
    <d v="2025-10-27T00:00:00"/>
    <s v="Afi Kpodo"/>
    <x v="1"/>
    <x v="2"/>
    <n v="307.17"/>
    <x v="19"/>
    <n v="6"/>
    <n v="1843.03"/>
    <x v="2"/>
    <x v="1"/>
    <x v="1"/>
    <s v="CHKEDU"/>
    <x v="0"/>
    <x v="3"/>
    <x v="0"/>
    <x v="1"/>
  </r>
  <r>
    <s v="T-100708"/>
    <d v="2024-06-07T00:00:00"/>
    <s v="Afi Ayivi"/>
    <x v="3"/>
    <x v="3"/>
    <n v="387.91"/>
    <x v="10"/>
    <n v="12"/>
    <n v="4654.92"/>
    <x v="0"/>
    <x v="0"/>
    <x v="3"/>
    <s v="REVTEL"/>
    <x v="10"/>
    <x v="4"/>
    <x v="1"/>
    <x v="0"/>
  </r>
  <r>
    <s v="T-100709"/>
    <d v="2024-03-28T00:00:00"/>
    <s v="Mawuli Hounkpati"/>
    <x v="4"/>
    <x v="1"/>
    <n v="131.61000000000001"/>
    <x v="18"/>
    <n v="13"/>
    <n v="1710.98"/>
    <x v="0"/>
    <x v="0"/>
    <x v="0"/>
    <s v="OKAGR"/>
    <x v="6"/>
    <x v="0"/>
    <x v="0"/>
    <x v="0"/>
  </r>
  <r>
    <s v="T-100710"/>
    <d v="2024-03-29T00:00:00"/>
    <s v="Yawa Amouzou"/>
    <x v="1"/>
    <x v="4"/>
    <n v="84.62"/>
    <x v="1"/>
    <n v="11"/>
    <n v="930.82"/>
    <x v="0"/>
    <x v="0"/>
    <x v="2"/>
    <s v="OKÉNE"/>
    <x v="6"/>
    <x v="4"/>
    <x v="0"/>
    <x v="0"/>
  </r>
  <r>
    <s v="T-100711"/>
    <d v="2025-05-01T00:00:00"/>
    <s v="Afi Hounkpati"/>
    <x v="4"/>
    <x v="1"/>
    <n v="102.35"/>
    <x v="14"/>
    <n v="15"/>
    <n v="1535.18"/>
    <x v="0"/>
    <x v="0"/>
    <x v="0"/>
    <s v="OKAGR"/>
    <x v="7"/>
    <x v="0"/>
    <x v="0"/>
    <x v="1"/>
  </r>
  <r>
    <s v="T-100712"/>
    <d v="2025-04-01T00:00:00"/>
    <s v="Sena Kossi"/>
    <x v="4"/>
    <x v="3"/>
    <n v="53.18"/>
    <x v="12"/>
    <n v="13"/>
    <n v="691.3"/>
    <x v="0"/>
    <x v="0"/>
    <x v="3"/>
    <s v="CHKTEL"/>
    <x v="1"/>
    <x v="1"/>
    <x v="0"/>
    <x v="1"/>
  </r>
  <r>
    <s v="T-100713"/>
    <d v="2024-10-10T00:00:00"/>
    <s v="​Sena Mensah  "/>
    <x v="1"/>
    <x v="3"/>
    <n v="11.29"/>
    <x v="1"/>
    <n v="116"/>
    <n v="1309.4000000000001"/>
    <x v="0"/>
    <x v="0"/>
    <x v="4"/>
    <s v="REVFMC"/>
    <x v="0"/>
    <x v="0"/>
    <x v="0"/>
    <x v="0"/>
  </r>
  <r>
    <s v="T-100714"/>
    <d v="2024-04-06T00:00:00"/>
    <s v="Eyram Gbogbo"/>
    <x v="3"/>
    <x v="2"/>
    <n v="398.32"/>
    <x v="3"/>
    <n v="7"/>
    <n v="2788.27"/>
    <x v="0"/>
    <x v="1"/>
    <x v="2"/>
    <s v="CHKÉNE"/>
    <x v="1"/>
    <x v="6"/>
    <x v="0"/>
    <x v="0"/>
  </r>
  <r>
    <s v="T-100715"/>
    <d v="2025-08-21T00:00:00"/>
    <s v="Afi Amouzou"/>
    <x v="1"/>
    <x v="2"/>
    <n v="113.82"/>
    <x v="11"/>
    <n v="11"/>
    <n v="1252.01"/>
    <x v="0"/>
    <x v="0"/>
    <x v="3"/>
    <s v="REVTEL"/>
    <x v="4"/>
    <x v="0"/>
    <x v="0"/>
    <x v="1"/>
  </r>
  <r>
    <s v="T-100716"/>
    <d v="2025-10-22T00:00:00"/>
    <s v="Elom Mensah"/>
    <x v="3"/>
    <x v="4"/>
    <n v="47.78"/>
    <x v="10"/>
    <n v="16"/>
    <n v="166.2715"/>
    <x v="0"/>
    <x v="0"/>
    <x v="1"/>
    <s v="CHKEDU"/>
    <x v="0"/>
    <x v="5"/>
    <x v="0"/>
    <x v="1"/>
  </r>
  <r>
    <s v="T-100717"/>
    <d v="2024-06-24T00:00:00"/>
    <s v="Sena Lawson"/>
    <x v="2"/>
    <x v="0"/>
    <n v="171.64"/>
    <x v="16"/>
    <n v="16"/>
    <n v="2746.28"/>
    <x v="0"/>
    <x v="0"/>
    <x v="0"/>
    <s v="CHKAGR"/>
    <x v="10"/>
    <x v="3"/>
    <x v="0"/>
    <x v="0"/>
  </r>
  <r>
    <s v="T-100718"/>
    <d v="2025-07-18T00:00:00"/>
    <s v="​Kossi Gbogbo  "/>
    <x v="4"/>
    <x v="3"/>
    <n v="149.12"/>
    <x v="14"/>
    <n v="11"/>
    <n v="1640.34"/>
    <x v="2"/>
    <x v="0"/>
    <x v="4"/>
    <s v="CHKFMC"/>
    <x v="5"/>
    <x v="4"/>
    <x v="0"/>
    <x v="1"/>
  </r>
  <r>
    <s v="T-100719"/>
    <d v="2024-07-16T00:00:00"/>
    <s v="Mawuli Tete"/>
    <x v="3"/>
    <x v="1"/>
    <n v="108.38"/>
    <x v="17"/>
    <n v="14"/>
    <n v="1517.31"/>
    <x v="0"/>
    <x v="0"/>
    <x v="1"/>
    <s v="CHKEDU"/>
    <x v="5"/>
    <x v="1"/>
    <x v="0"/>
    <x v="0"/>
  </r>
  <r>
    <s v="T-100720"/>
    <d v="2024-08-23T00:00:00"/>
    <s v="Eyram Hounkpati"/>
    <x v="3"/>
    <x v="1"/>
    <n v="129.61000000000001"/>
    <x v="15"/>
    <n v="11"/>
    <n v="1425.76"/>
    <x v="0"/>
    <x v="0"/>
    <x v="4"/>
    <s v="CHKFMC"/>
    <x v="4"/>
    <x v="4"/>
    <x v="0"/>
    <x v="0"/>
  </r>
  <r>
    <s v="T-100721"/>
    <d v="2024-04-28T00:00:00"/>
    <s v="Elom Gbogbo"/>
    <x v="0"/>
    <x v="0"/>
    <n v="304"/>
    <x v="0"/>
    <n v="12"/>
    <n v="3647.95"/>
    <x v="0"/>
    <x v="0"/>
    <x v="4"/>
    <s v="OKFMC"/>
    <x v="1"/>
    <x v="2"/>
    <x v="0"/>
    <x v="0"/>
  </r>
  <r>
    <s v="T-100722"/>
    <d v="2024-12-18T00:00:00"/>
    <s v="Kodjo Gbogbo"/>
    <x v="3"/>
    <x v="4"/>
    <n v="103.42"/>
    <x v="17"/>
    <n v="12"/>
    <n v="1241"/>
    <x v="0"/>
    <x v="0"/>
    <x v="4"/>
    <s v="OKFMC"/>
    <x v="9"/>
    <x v="5"/>
    <x v="0"/>
    <x v="0"/>
  </r>
  <r>
    <s v="T-100723"/>
    <d v="2024-08-10T00:00:00"/>
    <s v="Elom Lawson"/>
    <x v="3"/>
    <x v="1"/>
    <n v="151"/>
    <x v="10"/>
    <n v="11"/>
    <n v="1661"/>
    <x v="2"/>
    <x v="0"/>
    <x v="0"/>
    <s v="REVAGR"/>
    <x v="4"/>
    <x v="6"/>
    <x v="0"/>
    <x v="0"/>
  </r>
  <r>
    <s v="T-100724"/>
    <d v="2024-03-02T00:00:00"/>
    <s v="Afi Kpodo"/>
    <x v="2"/>
    <x v="1"/>
    <n v="83.38"/>
    <x v="2"/>
    <n v="15"/>
    <n v="1250.76"/>
    <x v="0"/>
    <x v="0"/>
    <x v="1"/>
    <s v="OKEDU"/>
    <x v="6"/>
    <x v="6"/>
    <x v="0"/>
    <x v="0"/>
  </r>
  <r>
    <s v="T-100725"/>
    <d v="2025-04-18T00:00:00"/>
    <s v="Sena Kossi"/>
    <x v="2"/>
    <x v="1"/>
    <n v="226.86"/>
    <x v="16"/>
    <n v="12"/>
    <n v="2722.26"/>
    <x v="0"/>
    <x v="0"/>
    <x v="2"/>
    <s v="OKÉNE"/>
    <x v="1"/>
    <x v="4"/>
    <x v="0"/>
    <x v="1"/>
  </r>
  <r>
    <s v="T-100726"/>
    <d v="2025-07-29T00:00:00"/>
    <s v="Kodjo Ayivi"/>
    <x v="2"/>
    <x v="2"/>
    <n v="56.98"/>
    <x v="7"/>
    <n v="16"/>
    <n v="911.63"/>
    <x v="1"/>
    <x v="0"/>
    <x v="4"/>
    <s v="REVFMC"/>
    <x v="5"/>
    <x v="1"/>
    <x v="0"/>
    <x v="1"/>
  </r>
  <r>
    <s v="T-100727"/>
    <d v="2024-04-25T00:00:00"/>
    <s v="Eyram Mensah"/>
    <x v="2"/>
    <x v="2"/>
    <n v="84.75"/>
    <x v="4"/>
    <n v="13"/>
    <n v="1101.8"/>
    <x v="1"/>
    <x v="0"/>
    <x v="0"/>
    <s v="CHKAGR"/>
    <x v="1"/>
    <x v="0"/>
    <x v="0"/>
    <x v="0"/>
  </r>
  <r>
    <s v="T-100728"/>
    <d v="2025-04-29T00:00:00"/>
    <s v="Yawa Ayivi"/>
    <x v="4"/>
    <x v="3"/>
    <n v="193.5"/>
    <x v="6"/>
    <n v="10"/>
    <n v="1935.02"/>
    <x v="0"/>
    <x v="1"/>
    <x v="3"/>
    <s v="OKTEL"/>
    <x v="1"/>
    <x v="1"/>
    <x v="0"/>
    <x v="1"/>
  </r>
  <r>
    <s v="T-100729"/>
    <d v="2025-07-12T00:00:00"/>
    <s v="mawuli agbo"/>
    <x v="3"/>
    <x v="0"/>
    <n v="10.11"/>
    <x v="3"/>
    <n v="107"/>
    <n v="1081.26"/>
    <x v="0"/>
    <x v="0"/>
    <x v="0"/>
    <s v="OKAGR"/>
    <x v="5"/>
    <x v="6"/>
    <x v="0"/>
    <x v="1"/>
  </r>
  <r>
    <s v="T-100730"/>
    <d v="2025-01-29T00:00:00"/>
    <s v="Mawuli Kossi"/>
    <x v="4"/>
    <x v="0"/>
    <n v="1641.06"/>
    <x v="12"/>
    <n v="1"/>
    <n v="1641.06"/>
    <x v="0"/>
    <x v="1"/>
    <x v="0"/>
    <s v="OKAGR"/>
    <x v="3"/>
    <x v="5"/>
    <x v="0"/>
    <x v="1"/>
  </r>
  <r>
    <s v="T-100731"/>
    <d v="2024-12-27T00:00:00"/>
    <s v="Kodjo Kpodo"/>
    <x v="4"/>
    <x v="4"/>
    <n v="120.64"/>
    <x v="6"/>
    <n v="11"/>
    <n v="1327"/>
    <x v="2"/>
    <x v="0"/>
    <x v="2"/>
    <s v="CHKÉNE"/>
    <x v="9"/>
    <x v="4"/>
    <x v="0"/>
    <x v="0"/>
  </r>
  <r>
    <s v="T-100732"/>
    <d v="2025-04-25T00:00:00"/>
    <s v="Mawuli Ayivi"/>
    <x v="3"/>
    <x v="1"/>
    <n v="258.43"/>
    <x v="17"/>
    <n v="7"/>
    <n v="1809"/>
    <x v="0"/>
    <x v="1"/>
    <x v="2"/>
    <s v="OKÉNE"/>
    <x v="1"/>
    <x v="4"/>
    <x v="0"/>
    <x v="1"/>
  </r>
  <r>
    <s v="T-100733"/>
    <d v="2025-02-26T00:00:00"/>
    <s v="Sena Gbogbo"/>
    <x v="2"/>
    <x v="1"/>
    <n v="178.19"/>
    <x v="4"/>
    <n v="12"/>
    <n v="2138.29"/>
    <x v="2"/>
    <x v="0"/>
    <x v="1"/>
    <s v="OKEDU"/>
    <x v="8"/>
    <x v="5"/>
    <x v="0"/>
    <x v="1"/>
  </r>
  <r>
    <s v="T-100734"/>
    <d v="2024-02-12T00:00:00"/>
    <s v="Yawa Kossi"/>
    <x v="4"/>
    <x v="4"/>
    <n v="242.95"/>
    <x v="6"/>
    <n v="11"/>
    <n v="2672.46"/>
    <x v="1"/>
    <x v="0"/>
    <x v="2"/>
    <s v="OKÉNE"/>
    <x v="8"/>
    <x v="3"/>
    <x v="0"/>
    <x v="0"/>
  </r>
  <r>
    <s v="T-100735"/>
    <d v="2025-07-25T00:00:00"/>
    <s v="Afi Tete"/>
    <x v="4"/>
    <x v="0"/>
    <n v="143.62"/>
    <x v="18"/>
    <n v="8"/>
    <n v="1149"/>
    <x v="2"/>
    <x v="1"/>
    <x v="0"/>
    <s v="REVAGR"/>
    <x v="5"/>
    <x v="4"/>
    <x v="0"/>
    <x v="1"/>
  </r>
  <r>
    <s v="T-100736"/>
    <d v="2025-09-06T00:00:00"/>
    <s v="Afi Agbo"/>
    <x v="2"/>
    <x v="2"/>
    <n v="16.3"/>
    <x v="2"/>
    <n v="75"/>
    <n v="1222.75"/>
    <x v="2"/>
    <x v="0"/>
    <x v="3"/>
    <s v="REVTEL"/>
    <x v="2"/>
    <x v="6"/>
    <x v="0"/>
    <x v="1"/>
  </r>
  <r>
    <s v="T-100737"/>
    <d v="2025-09-13T00:00:00"/>
    <s v="​Atsou Mensah  "/>
    <x v="2"/>
    <x v="4"/>
    <n v="170.73"/>
    <x v="7"/>
    <n v="15"/>
    <n v="2560.9699999999998"/>
    <x v="0"/>
    <x v="0"/>
    <x v="4"/>
    <s v="OKFMC"/>
    <x v="2"/>
    <x v="6"/>
    <x v="0"/>
    <x v="1"/>
  </r>
  <r>
    <s v="T-100738"/>
    <d v="2025-06-17T00:00:00"/>
    <s v="Kodjo Mensah"/>
    <x v="2"/>
    <x v="0"/>
    <n v="238.7"/>
    <x v="16"/>
    <n v="13"/>
    <n v="3103.14"/>
    <x v="2"/>
    <x v="0"/>
    <x v="2"/>
    <s v="OKÉNE"/>
    <x v="10"/>
    <x v="1"/>
    <x v="0"/>
    <x v="1"/>
  </r>
  <r>
    <s v="T-100739"/>
    <d v="2024-03-07T00:00:00"/>
    <s v="Akofa Gbogbo"/>
    <x v="1"/>
    <x v="2"/>
    <n v="216.78"/>
    <x v="11"/>
    <n v="9"/>
    <n v="1951.01"/>
    <x v="0"/>
    <x v="1"/>
    <x v="2"/>
    <s v="REVÉNE"/>
    <x v="6"/>
    <x v="0"/>
    <x v="0"/>
    <x v="0"/>
  </r>
  <r>
    <s v="T-100740"/>
    <d v="2024-03-25T00:00:00"/>
    <s v="Sena Gbogbo"/>
    <x v="3"/>
    <x v="3"/>
    <n v="129.59"/>
    <x v="17"/>
    <n v="15"/>
    <n v="1943.82"/>
    <x v="0"/>
    <x v="0"/>
    <x v="3"/>
    <s v="REVTEL"/>
    <x v="6"/>
    <x v="3"/>
    <x v="0"/>
    <x v="0"/>
  </r>
  <r>
    <s v="T-100741"/>
    <d v="2024-10-25T00:00:00"/>
    <s v="Eyram Kossi"/>
    <x v="1"/>
    <x v="0"/>
    <n v="403.5"/>
    <x v="19"/>
    <n v="6"/>
    <n v="2421"/>
    <x v="0"/>
    <x v="1"/>
    <x v="2"/>
    <s v="OKÉNE"/>
    <x v="0"/>
    <x v="4"/>
    <x v="0"/>
    <x v="0"/>
  </r>
  <r>
    <s v="T-100742"/>
    <d v="2024-02-16T00:00:00"/>
    <s v="Atsou Hounkpati"/>
    <x v="0"/>
    <x v="1"/>
    <n v="111.53"/>
    <x v="0"/>
    <n v="12"/>
    <n v="1338.36"/>
    <x v="1"/>
    <x v="0"/>
    <x v="0"/>
    <s v="CHKAGR"/>
    <x v="8"/>
    <x v="4"/>
    <x v="0"/>
    <x v="0"/>
  </r>
  <r>
    <s v="T-100743"/>
    <d v="2025-05-19T00:00:00"/>
    <s v="Afi Gbogbo"/>
    <x v="1"/>
    <x v="3"/>
    <n v="153.01"/>
    <x v="9"/>
    <n v="12"/>
    <n v="1836.14"/>
    <x v="2"/>
    <x v="0"/>
    <x v="1"/>
    <s v="OKEDU"/>
    <x v="7"/>
    <x v="3"/>
    <x v="0"/>
    <x v="1"/>
  </r>
  <r>
    <s v="T-100744"/>
    <d v="2024-01-31T00:00:00"/>
    <s v="​Kodjo Lawson  "/>
    <x v="4"/>
    <x v="4"/>
    <n v="1264.6500000000001"/>
    <x v="18"/>
    <n v="1"/>
    <n v="1264.6500000000001"/>
    <x v="0"/>
    <x v="1"/>
    <x v="4"/>
    <s v="OKFMC"/>
    <x v="3"/>
    <x v="5"/>
    <x v="0"/>
    <x v="0"/>
  </r>
  <r>
    <s v="T-100745"/>
    <d v="2024-06-10T00:00:00"/>
    <s v="Kodjo Gbogbo"/>
    <x v="4"/>
    <x v="4"/>
    <n v="232.8"/>
    <x v="6"/>
    <n v="15"/>
    <n v="3492"/>
    <x v="0"/>
    <x v="0"/>
    <x v="3"/>
    <s v="CHKTEL"/>
    <x v="10"/>
    <x v="3"/>
    <x v="0"/>
    <x v="0"/>
  </r>
  <r>
    <s v="T-100746"/>
    <d v="2024-05-30T00:00:00"/>
    <s v="Yawa Tete"/>
    <x v="1"/>
    <x v="0"/>
    <n v="301.05"/>
    <x v="9"/>
    <n v="8"/>
    <n v="2408.41"/>
    <x v="0"/>
    <x v="1"/>
    <x v="3"/>
    <s v="OKTEL"/>
    <x v="7"/>
    <x v="0"/>
    <x v="0"/>
    <x v="0"/>
  </r>
  <r>
    <s v="T-100747"/>
    <d v="2025-08-31T00:00:00"/>
    <s v="​Kossi Agbo  "/>
    <x v="1"/>
    <x v="2"/>
    <n v="236.55"/>
    <x v="9"/>
    <n v="15"/>
    <n v="3548.24"/>
    <x v="0"/>
    <x v="0"/>
    <x v="3"/>
    <s v="OKTEL"/>
    <x v="4"/>
    <x v="2"/>
    <x v="0"/>
    <x v="1"/>
  </r>
  <r>
    <s v="T-100748"/>
    <d v="2025-01-19T00:00:00"/>
    <s v="Kossi Mensah"/>
    <x v="4"/>
    <x v="1"/>
    <n v="319.99"/>
    <x v="14"/>
    <n v="10"/>
    <n v="3199.85"/>
    <x v="2"/>
    <x v="0"/>
    <x v="0"/>
    <s v="CHKAGR"/>
    <x v="3"/>
    <x v="2"/>
    <x v="0"/>
    <x v="1"/>
  </r>
  <r>
    <s v="T-100749"/>
    <d v="2024-05-30T00:00:00"/>
    <s v="Yawa Kpodo"/>
    <x v="2"/>
    <x v="2"/>
    <n v="3742.86"/>
    <x v="16"/>
    <n v="1"/>
    <n v="3742.86"/>
    <x v="0"/>
    <x v="0"/>
    <x v="1"/>
    <s v="REVEDU"/>
    <x v="7"/>
    <x v="0"/>
    <x v="0"/>
    <x v="0"/>
  </r>
  <r>
    <s v="T-100750"/>
    <d v="2025-08-29T00:00:00"/>
    <s v="Yawa Gbogbo"/>
    <x v="1"/>
    <x v="4"/>
    <n v="259.5"/>
    <x v="19"/>
    <n v="8"/>
    <n v="2076"/>
    <x v="0"/>
    <x v="1"/>
    <x v="4"/>
    <s v="CHKFMC"/>
    <x v="4"/>
    <x v="4"/>
    <x v="0"/>
    <x v="1"/>
  </r>
  <r>
    <s v="T-100751"/>
    <d v="2024-10-06T00:00:00"/>
    <s v="Kossi Lawson"/>
    <x v="2"/>
    <x v="2"/>
    <n v="27.76"/>
    <x v="4"/>
    <n v="92"/>
    <n v="2553.62"/>
    <x v="0"/>
    <x v="0"/>
    <x v="1"/>
    <s v="CHKEDU"/>
    <x v="0"/>
    <x v="2"/>
    <x v="0"/>
    <x v="0"/>
  </r>
  <r>
    <s v="T-100752"/>
    <d v="2024-11-06T00:00:00"/>
    <s v="Kossi Tete"/>
    <x v="1"/>
    <x v="3"/>
    <n v="202.92"/>
    <x v="9"/>
    <n v="8"/>
    <n v="1623.35"/>
    <x v="2"/>
    <x v="1"/>
    <x v="2"/>
    <s v="OKÉNE"/>
    <x v="11"/>
    <x v="5"/>
    <x v="0"/>
    <x v="0"/>
  </r>
  <r>
    <s v="T-100753"/>
    <d v="2025-02-08T00:00:00"/>
    <s v="Sena Gbogbo"/>
    <x v="3"/>
    <x v="0"/>
    <n v="172.45"/>
    <x v="15"/>
    <n v="12"/>
    <n v="2069.4299999999998"/>
    <x v="0"/>
    <x v="0"/>
    <x v="3"/>
    <s v="OKTEL"/>
    <x v="8"/>
    <x v="6"/>
    <x v="0"/>
    <x v="1"/>
  </r>
  <r>
    <s v="T-100754"/>
    <d v="2024-08-28T00:00:00"/>
    <s v="​akofa hounkpati  "/>
    <x v="0"/>
    <x v="1"/>
    <n v="98.35"/>
    <x v="5"/>
    <n v="17"/>
    <n v="1672"/>
    <x v="0"/>
    <x v="0"/>
    <x v="0"/>
    <s v="CHKAGR"/>
    <x v="4"/>
    <x v="5"/>
    <x v="0"/>
    <x v="0"/>
  </r>
  <r>
    <s v="T-100755"/>
    <d v="2025-08-21T00:00:00"/>
    <s v="Yawa Kpodo"/>
    <x v="2"/>
    <x v="0"/>
    <n v="349.5"/>
    <x v="16"/>
    <n v="6"/>
    <n v="2097"/>
    <x v="0"/>
    <x v="1"/>
    <x v="1"/>
    <s v="CHKEDU"/>
    <x v="4"/>
    <x v="0"/>
    <x v="0"/>
    <x v="1"/>
  </r>
  <r>
    <s v="T-100756"/>
    <d v="2024-03-27T00:00:00"/>
    <s v="Sena Amouzou"/>
    <x v="3"/>
    <x v="1"/>
    <n v="20.86"/>
    <x v="3"/>
    <n v="119"/>
    <n v="2482.5500000000002"/>
    <x v="2"/>
    <x v="0"/>
    <x v="4"/>
    <s v="CHKFMC"/>
    <x v="6"/>
    <x v="5"/>
    <x v="0"/>
    <x v="0"/>
  </r>
  <r>
    <s v="T-100757"/>
    <d v="2025-07-09T00:00:00"/>
    <s v="Kossi Mensah"/>
    <x v="0"/>
    <x v="4"/>
    <n v="395.22"/>
    <x v="5"/>
    <n v="9"/>
    <n v="3557"/>
    <x v="0"/>
    <x v="0"/>
    <x v="0"/>
    <s v="OKAGR"/>
    <x v="5"/>
    <x v="5"/>
    <x v="0"/>
    <x v="1"/>
  </r>
  <r>
    <s v="T-100758"/>
    <d v="2024-12-28T00:00:00"/>
    <s v="Afi Agbo"/>
    <x v="3"/>
    <x v="0"/>
    <n v="117.71"/>
    <x v="10"/>
    <n v="11"/>
    <n v="1294.8599999999999"/>
    <x v="0"/>
    <x v="0"/>
    <x v="3"/>
    <s v="CHKTEL"/>
    <x v="9"/>
    <x v="6"/>
    <x v="0"/>
    <x v="0"/>
  </r>
  <r>
    <s v="T-100759"/>
    <d v="2025-08-16T00:00:00"/>
    <s v="Eyram Kpodo"/>
    <x v="1"/>
    <x v="1"/>
    <n v="95.69"/>
    <x v="11"/>
    <n v="13"/>
    <n v="1244.01"/>
    <x v="2"/>
    <x v="0"/>
    <x v="1"/>
    <s v="CHKEDU"/>
    <x v="4"/>
    <x v="6"/>
    <x v="0"/>
    <x v="1"/>
  </r>
  <r>
    <s v="T-100760"/>
    <d v="2024-02-01T00:00:00"/>
    <s v="Afi Kpodo"/>
    <x v="2"/>
    <x v="1"/>
    <n v="159.29"/>
    <x v="16"/>
    <n v="10"/>
    <n v="1592.88"/>
    <x v="0"/>
    <x v="1"/>
    <x v="2"/>
    <s v="OKÉNE"/>
    <x v="8"/>
    <x v="0"/>
    <x v="0"/>
    <x v="0"/>
  </r>
  <r>
    <s v="T-100761"/>
    <d v="2025-02-05T00:00:00"/>
    <s v="Kodjo Lawson"/>
    <x v="1"/>
    <x v="2"/>
    <n v="46.02"/>
    <x v="11"/>
    <n v="14"/>
    <n v="644.32000000000005"/>
    <x v="0"/>
    <x v="0"/>
    <x v="4"/>
    <s v="REVFMC"/>
    <x v="8"/>
    <x v="5"/>
    <x v="0"/>
    <x v="1"/>
  </r>
  <r>
    <s v="T-100762"/>
    <d v="2024-07-02T00:00:00"/>
    <s v="Kossi Agbo"/>
    <x v="4"/>
    <x v="4"/>
    <n v="6.86"/>
    <x v="12"/>
    <n v="120"/>
    <n v="823.78"/>
    <x v="2"/>
    <x v="0"/>
    <x v="1"/>
    <s v="CHKEDU"/>
    <x v="5"/>
    <x v="1"/>
    <x v="0"/>
    <x v="0"/>
  </r>
  <r>
    <s v="T-100763"/>
    <d v="2024-11-05T00:00:00"/>
    <s v="​Kodjo Gbogbo  "/>
    <x v="0"/>
    <x v="1"/>
    <n v="197.49"/>
    <x v="13"/>
    <n v="12"/>
    <n v="2369.88"/>
    <x v="0"/>
    <x v="0"/>
    <x v="2"/>
    <s v="CHKÉNE"/>
    <x v="11"/>
    <x v="1"/>
    <x v="0"/>
    <x v="0"/>
  </r>
  <r>
    <s v="T-100764"/>
    <d v="2024-04-05T00:00:00"/>
    <s v="Elom Kpodo"/>
    <x v="0"/>
    <x v="4"/>
    <n v="212.21"/>
    <x v="8"/>
    <n v="16"/>
    <n v="3395.38"/>
    <x v="2"/>
    <x v="0"/>
    <x v="1"/>
    <s v="REVEDU"/>
    <x v="1"/>
    <x v="4"/>
    <x v="0"/>
    <x v="0"/>
  </r>
  <r>
    <s v="T-100765"/>
    <d v="2025-03-17T00:00:00"/>
    <s v="Atsou Gbogbo"/>
    <x v="4"/>
    <x v="0"/>
    <n v="67.180000000000007"/>
    <x v="6"/>
    <n v="11"/>
    <n v="739"/>
    <x v="0"/>
    <x v="0"/>
    <x v="0"/>
    <s v="CHKAGR"/>
    <x v="6"/>
    <x v="3"/>
    <x v="0"/>
    <x v="1"/>
  </r>
  <r>
    <s v="T-100766"/>
    <d v="2024-02-06T00:00:00"/>
    <s v="Eyram Gbogbo"/>
    <x v="3"/>
    <x v="2"/>
    <n v="102.11"/>
    <x v="3"/>
    <n v="9"/>
    <n v="919"/>
    <x v="0"/>
    <x v="1"/>
    <x v="0"/>
    <s v="REVAGR"/>
    <x v="8"/>
    <x v="1"/>
    <x v="0"/>
    <x v="0"/>
  </r>
  <r>
    <s v="T-100767"/>
    <d v="2025-05-04T00:00:00"/>
    <s v="Elom Mensah"/>
    <x v="4"/>
    <x v="0"/>
    <n v="276.44"/>
    <x v="18"/>
    <n v="13"/>
    <n v="3593.75"/>
    <x v="0"/>
    <x v="0"/>
    <x v="2"/>
    <s v="OKÉNE"/>
    <x v="7"/>
    <x v="2"/>
    <x v="0"/>
    <x v="1"/>
  </r>
  <r>
    <s v="T-100768"/>
    <d v="2024-08-17T00:00:00"/>
    <s v="Eyram Tete"/>
    <x v="3"/>
    <x v="0"/>
    <n v="147.44999999999999"/>
    <x v="10"/>
    <n v="10"/>
    <n v="1474.52"/>
    <x v="2"/>
    <x v="1"/>
    <x v="1"/>
    <s v="OKEDU"/>
    <x v="4"/>
    <x v="6"/>
    <x v="0"/>
    <x v="0"/>
  </r>
  <r>
    <s v="T-100769"/>
    <d v="2024-02-11T00:00:00"/>
    <s v="Akofa Lawson"/>
    <x v="4"/>
    <x v="1"/>
    <n v="137.15"/>
    <x v="12"/>
    <n v="12"/>
    <n v="1645.79"/>
    <x v="0"/>
    <x v="0"/>
    <x v="1"/>
    <s v="CHKEDU"/>
    <x v="8"/>
    <x v="2"/>
    <x v="0"/>
    <x v="0"/>
  </r>
  <r>
    <s v="T-100770"/>
    <d v="2024-01-14T00:00:00"/>
    <s v="Eyram Agbo"/>
    <x v="4"/>
    <x v="4"/>
    <n v="88.4"/>
    <x v="18"/>
    <n v="16"/>
    <n v="1414.47"/>
    <x v="0"/>
    <x v="0"/>
    <x v="2"/>
    <s v="REVÉNE"/>
    <x v="3"/>
    <x v="2"/>
    <x v="0"/>
    <x v="0"/>
  </r>
  <r>
    <s v="T-100771"/>
    <d v="2024-12-31T00:00:00"/>
    <s v="Kossi Gbogbo"/>
    <x v="1"/>
    <x v="4"/>
    <n v="81.28"/>
    <x v="1"/>
    <n v="16"/>
    <n v="1300.49"/>
    <x v="0"/>
    <x v="0"/>
    <x v="3"/>
    <s v="REVTEL"/>
    <x v="9"/>
    <x v="1"/>
    <x v="0"/>
    <x v="0"/>
  </r>
  <r>
    <s v="T-100772"/>
    <d v="2024-07-03T00:00:00"/>
    <s v="Afi Mensah"/>
    <x v="4"/>
    <x v="3"/>
    <n v="77"/>
    <x v="12"/>
    <n v="17"/>
    <n v="1308.93"/>
    <x v="2"/>
    <x v="0"/>
    <x v="0"/>
    <s v="CHKAGR"/>
    <x v="5"/>
    <x v="5"/>
    <x v="0"/>
    <x v="0"/>
  </r>
  <r>
    <s v="T-100773"/>
    <d v="2025-02-11T00:00:00"/>
    <s v="Eyram Ayivi"/>
    <x v="2"/>
    <x v="0"/>
    <n v="172.32"/>
    <x v="16"/>
    <n v="10"/>
    <n v="1723.1999999999998"/>
    <x v="1"/>
    <x v="1"/>
    <x v="1"/>
    <s v="OKEDU"/>
    <x v="8"/>
    <x v="1"/>
    <x v="0"/>
    <x v="1"/>
  </r>
  <r>
    <s v="T-100774"/>
    <d v="2024-12-11T00:00:00"/>
    <s v="Atsou Kpodo"/>
    <x v="4"/>
    <x v="4"/>
    <n v="195.22"/>
    <x v="14"/>
    <n v="9"/>
    <n v="1757"/>
    <x v="1"/>
    <x v="1"/>
    <x v="0"/>
    <s v="CHKAGR"/>
    <x v="9"/>
    <x v="5"/>
    <x v="0"/>
    <x v="0"/>
  </r>
  <r>
    <s v="T-100775"/>
    <d v="2024-11-18T00:00:00"/>
    <s v="Mawuli Amouzou"/>
    <x v="3"/>
    <x v="2"/>
    <n v="160.08000000000001"/>
    <x v="17"/>
    <n v="12"/>
    <n v="1921"/>
    <x v="0"/>
    <x v="0"/>
    <x v="0"/>
    <s v="REVAGR"/>
    <x v="11"/>
    <x v="3"/>
    <x v="0"/>
    <x v="0"/>
  </r>
  <r>
    <s v="T-100776"/>
    <d v="2024-04-15T00:00:00"/>
    <s v="Kossi Mensah"/>
    <x v="3"/>
    <x v="3"/>
    <n v="1530.58"/>
    <x v="15"/>
    <n v="3"/>
    <n v="4591.7299999999996"/>
    <x v="0"/>
    <x v="0"/>
    <x v="3"/>
    <s v="OKTEL"/>
    <x v="1"/>
    <x v="3"/>
    <x v="1"/>
    <x v="0"/>
  </r>
  <r>
    <s v="T-100777"/>
    <d v="2025-07-28T00:00:00"/>
    <s v="Yawa Kpodo"/>
    <x v="4"/>
    <x v="1"/>
    <n v="96.75"/>
    <x v="18"/>
    <n v="14"/>
    <n v="1354.56"/>
    <x v="0"/>
    <x v="0"/>
    <x v="1"/>
    <s v="CHKEDU"/>
    <x v="5"/>
    <x v="3"/>
    <x v="0"/>
    <x v="1"/>
  </r>
  <r>
    <s v="T-100778"/>
    <d v="2024-12-04T00:00:00"/>
    <s v="Afi Mensah"/>
    <x v="4"/>
    <x v="1"/>
    <n v="72.930000000000007"/>
    <x v="14"/>
    <n v="14"/>
    <n v="1021"/>
    <x v="0"/>
    <x v="0"/>
    <x v="2"/>
    <s v="REVÉNE"/>
    <x v="9"/>
    <x v="5"/>
    <x v="0"/>
    <x v="0"/>
  </r>
  <r>
    <s v="T-100779"/>
    <d v="2024-06-26T00:00:00"/>
    <s v="Kodjo Kpodo"/>
    <x v="1"/>
    <x v="1"/>
    <n v="322.93"/>
    <x v="19"/>
    <n v="10"/>
    <n v="3229.32"/>
    <x v="0"/>
    <x v="0"/>
    <x v="1"/>
    <s v="CHKEDU"/>
    <x v="10"/>
    <x v="5"/>
    <x v="0"/>
    <x v="0"/>
  </r>
  <r>
    <s v="T-100780"/>
    <d v="2025-03-22T00:00:00"/>
    <s v="Sena Gbogbo"/>
    <x v="4"/>
    <x v="4"/>
    <n v="163.65"/>
    <x v="6"/>
    <n v="14"/>
    <n v="2291.06"/>
    <x v="0"/>
    <x v="0"/>
    <x v="0"/>
    <s v="OKAGR"/>
    <x v="6"/>
    <x v="6"/>
    <x v="0"/>
    <x v="1"/>
  </r>
  <r>
    <s v="T-100781"/>
    <d v="2024-07-06T00:00:00"/>
    <s v="Atsou Gbogbo"/>
    <x v="4"/>
    <x v="1"/>
    <n v="125.3"/>
    <x v="12"/>
    <n v="10"/>
    <n v="1253.02"/>
    <x v="0"/>
    <x v="1"/>
    <x v="2"/>
    <s v="OKÉNE"/>
    <x v="5"/>
    <x v="6"/>
    <x v="0"/>
    <x v="0"/>
  </r>
  <r>
    <s v="T-100782"/>
    <d v="2024-01-14T00:00:00"/>
    <s v="Elom Mensah"/>
    <x v="3"/>
    <x v="1"/>
    <n v="207"/>
    <x v="17"/>
    <n v="9"/>
    <n v="1862.99"/>
    <x v="0"/>
    <x v="1"/>
    <x v="4"/>
    <s v="CHKFMC"/>
    <x v="3"/>
    <x v="2"/>
    <x v="0"/>
    <x v="0"/>
  </r>
  <r>
    <s v="T-100783"/>
    <d v="2025-03-17T00:00:00"/>
    <s v="Elom Lawson"/>
    <x v="3"/>
    <x v="3"/>
    <n v="211.64"/>
    <x v="15"/>
    <n v="10"/>
    <n v="2116.37"/>
    <x v="2"/>
    <x v="1"/>
    <x v="3"/>
    <s v="REVTEL"/>
    <x v="6"/>
    <x v="3"/>
    <x v="0"/>
    <x v="1"/>
  </r>
  <r>
    <s v="T-100784"/>
    <d v="2025-02-04T00:00:00"/>
    <s v="Sena Tete"/>
    <x v="4"/>
    <x v="0"/>
    <n v="115.33"/>
    <x v="6"/>
    <n v="15"/>
    <n v="1730"/>
    <x v="2"/>
    <x v="0"/>
    <x v="1"/>
    <s v="CHKEDU"/>
    <x v="8"/>
    <x v="1"/>
    <x v="0"/>
    <x v="1"/>
  </r>
  <r>
    <s v="T-100785"/>
    <d v="2024-08-07T00:00:00"/>
    <s v="Kodjo Gbogbo"/>
    <x v="3"/>
    <x v="4"/>
    <n v="152.4"/>
    <x v="15"/>
    <n v="10"/>
    <n v="1524"/>
    <x v="0"/>
    <x v="1"/>
    <x v="2"/>
    <s v="REVÉNE"/>
    <x v="4"/>
    <x v="5"/>
    <x v="0"/>
    <x v="0"/>
  </r>
  <r>
    <s v="T-100786"/>
    <d v="2025-03-14T00:00:00"/>
    <s v="Kodjo Hounkpati"/>
    <x v="4"/>
    <x v="4"/>
    <n v="160.5"/>
    <x v="14"/>
    <n v="5"/>
    <n v="802.51"/>
    <x v="0"/>
    <x v="1"/>
    <x v="2"/>
    <s v="CHKÉNE"/>
    <x v="6"/>
    <x v="4"/>
    <x v="0"/>
    <x v="1"/>
  </r>
  <r>
    <s v="T-100787"/>
    <d v="2025-05-26T00:00:00"/>
    <s v="Akofa Hounkpati"/>
    <x v="2"/>
    <x v="4"/>
    <n v="155.34"/>
    <x v="2"/>
    <n v="8"/>
    <n v="1242.69"/>
    <x v="0"/>
    <x v="1"/>
    <x v="2"/>
    <s v="CHKÉNE"/>
    <x v="7"/>
    <x v="3"/>
    <x v="0"/>
    <x v="1"/>
  </r>
  <r>
    <s v="T-100788"/>
    <d v="2024-06-29T00:00:00"/>
    <s v="Kossi Agbo"/>
    <x v="2"/>
    <x v="4"/>
    <n v="100.23"/>
    <x v="7"/>
    <n v="13"/>
    <n v="1303"/>
    <x v="0"/>
    <x v="0"/>
    <x v="2"/>
    <s v="REVÉNE"/>
    <x v="10"/>
    <x v="6"/>
    <x v="0"/>
    <x v="0"/>
  </r>
  <r>
    <s v="T-100789"/>
    <d v="2025-03-09T00:00:00"/>
    <s v="Mawuli Hounkpati"/>
    <x v="3"/>
    <x v="1"/>
    <n v="1900.05"/>
    <x v="3"/>
    <n v="1"/>
    <n v="1900.05"/>
    <x v="0"/>
    <x v="1"/>
    <x v="4"/>
    <s v="CHKFMC"/>
    <x v="6"/>
    <x v="2"/>
    <x v="0"/>
    <x v="1"/>
  </r>
  <r>
    <s v="T-100790"/>
    <d v="2024-09-11T00:00:00"/>
    <s v="Mawuli Gbogbo"/>
    <x v="2"/>
    <x v="1"/>
    <n v="176.51"/>
    <x v="7"/>
    <n v="16"/>
    <n v="2824.15"/>
    <x v="0"/>
    <x v="0"/>
    <x v="3"/>
    <s v="CHKTEL"/>
    <x v="2"/>
    <x v="5"/>
    <x v="0"/>
    <x v="0"/>
  </r>
  <r>
    <s v="T-100791"/>
    <d v="2025-07-17T00:00:00"/>
    <s v="Atsou Kpodo"/>
    <x v="4"/>
    <x v="4"/>
    <n v="119.98"/>
    <x v="14"/>
    <n v="10"/>
    <n v="1199.76"/>
    <x v="0"/>
    <x v="1"/>
    <x v="4"/>
    <s v="OKFMC"/>
    <x v="5"/>
    <x v="0"/>
    <x v="0"/>
    <x v="1"/>
  </r>
  <r>
    <s v="T-100792"/>
    <d v="2025-08-27T00:00:00"/>
    <s v="Kossi Agbo"/>
    <x v="4"/>
    <x v="1"/>
    <n v="97.44"/>
    <x v="6"/>
    <n v="9"/>
    <n v="876.99"/>
    <x v="0"/>
    <x v="1"/>
    <x v="0"/>
    <s v="CHKAGR"/>
    <x v="4"/>
    <x v="5"/>
    <x v="0"/>
    <x v="1"/>
  </r>
  <r>
    <s v="T-100793"/>
    <d v="2025-04-15T00:00:00"/>
    <s v="Afi Hounkpati"/>
    <x v="3"/>
    <x v="2"/>
    <n v="178.23"/>
    <x v="17"/>
    <n v="6"/>
    <n v="1069.3599999999999"/>
    <x v="2"/>
    <x v="1"/>
    <x v="3"/>
    <s v="OKTEL"/>
    <x v="1"/>
    <x v="1"/>
    <x v="0"/>
    <x v="1"/>
  </r>
  <r>
    <s v="T-100794"/>
    <d v="2025-06-14T00:00:00"/>
    <s v="Kodjo Kpodo"/>
    <x v="1"/>
    <x v="4"/>
    <n v="8.83"/>
    <x v="19"/>
    <n v="84"/>
    <n v="741.95"/>
    <x v="2"/>
    <x v="0"/>
    <x v="2"/>
    <s v="OKÉNE"/>
    <x v="10"/>
    <x v="6"/>
    <x v="0"/>
    <x v="1"/>
  </r>
  <r>
    <s v="T-100795"/>
    <d v="2025-10-01T00:00:00"/>
    <s v="Kodjo Agbo"/>
    <x v="3"/>
    <x v="1"/>
    <n v="57.46"/>
    <x v="17"/>
    <n v="12"/>
    <n v="689.56"/>
    <x v="2"/>
    <x v="0"/>
    <x v="2"/>
    <s v="REVÉNE"/>
    <x v="0"/>
    <x v="5"/>
    <x v="0"/>
    <x v="1"/>
  </r>
  <r>
    <s v="T-100796"/>
    <d v="2024-01-19T00:00:00"/>
    <s v="Atsou Mensah"/>
    <x v="4"/>
    <x v="1"/>
    <n v="66.819999999999993"/>
    <x v="6"/>
    <n v="12"/>
    <n v="801.85"/>
    <x v="2"/>
    <x v="0"/>
    <x v="0"/>
    <s v="OKAGR"/>
    <x v="3"/>
    <x v="4"/>
    <x v="0"/>
    <x v="0"/>
  </r>
  <r>
    <s v="T-100797"/>
    <d v="2025-09-28T00:00:00"/>
    <s v="​Kossi Kpodo  "/>
    <x v="1"/>
    <x v="4"/>
    <n v="441.43"/>
    <x v="11"/>
    <n v="12"/>
    <n v="5297.11"/>
    <x v="2"/>
    <x v="0"/>
    <x v="1"/>
    <s v="CHKEDU"/>
    <x v="2"/>
    <x v="2"/>
    <x v="1"/>
    <x v="1"/>
  </r>
  <r>
    <s v="T-100798"/>
    <d v="2024-05-13T00:00:00"/>
    <s v="Afi Kossi"/>
    <x v="2"/>
    <x v="4"/>
    <n v="232.41"/>
    <x v="2"/>
    <n v="14"/>
    <n v="3253.76"/>
    <x v="0"/>
    <x v="0"/>
    <x v="2"/>
    <s v="CHKÉNE"/>
    <x v="7"/>
    <x v="3"/>
    <x v="0"/>
    <x v="0"/>
  </r>
  <r>
    <s v="T-100799"/>
    <d v="2024-10-23T00:00:00"/>
    <s v="Afi Gbogbo"/>
    <x v="1"/>
    <x v="2"/>
    <n v="138.49"/>
    <x v="19"/>
    <n v="20"/>
    <n v="2769.71"/>
    <x v="0"/>
    <x v="0"/>
    <x v="4"/>
    <s v="REVFMC"/>
    <x v="0"/>
    <x v="5"/>
    <x v="0"/>
    <x v="0"/>
  </r>
  <r>
    <s v="T-100663"/>
    <d v="2025-07-11T00:00:00"/>
    <s v="Kodjo Mensah"/>
    <x v="4"/>
    <x v="3"/>
    <n v="119.52"/>
    <x v="12"/>
    <n v="14"/>
    <n v="1673.21"/>
    <x v="0"/>
    <x v="0"/>
    <x v="1"/>
    <s v="OKEDU"/>
    <x v="5"/>
    <x v="4"/>
    <x v="0"/>
    <x v="1"/>
  </r>
  <r>
    <s v="T-100585"/>
    <d v="2025-02-20T00:00:00"/>
    <s v="​Yawa Ayivi  "/>
    <x v="3"/>
    <x v="4"/>
    <n v="92.45"/>
    <x v="3"/>
    <n v="20"/>
    <n v="1849.02"/>
    <x v="0"/>
    <x v="0"/>
    <x v="2"/>
    <s v="OKÉNE"/>
    <x v="8"/>
    <x v="0"/>
    <x v="0"/>
    <x v="1"/>
  </r>
  <r>
    <s v="T-100155"/>
    <d v="2024-03-15T00:00:00"/>
    <s v="Yawa Lawson"/>
    <x v="4"/>
    <x v="1"/>
    <n v="11.56"/>
    <x v="18"/>
    <n v="95"/>
    <n v="1098.33"/>
    <x v="0"/>
    <x v="0"/>
    <x v="2"/>
    <s v="OKÉNE"/>
    <x v="6"/>
    <x v="4"/>
    <x v="0"/>
    <x v="0"/>
  </r>
  <r>
    <s v="T-100696"/>
    <d v="2024-12-01T00:00:00"/>
    <s v="sena tete"/>
    <x v="1"/>
    <x v="1"/>
    <n v="134.91999999999999"/>
    <x v="9"/>
    <n v="12"/>
    <n v="1619"/>
    <x v="0"/>
    <x v="0"/>
    <x v="3"/>
    <s v="REVTEL"/>
    <x v="9"/>
    <x v="2"/>
    <x v="0"/>
    <x v="0"/>
  </r>
  <r>
    <s v="T-100109"/>
    <d v="2024-07-09T00:00:00"/>
    <s v="Kodjo Gbogbo"/>
    <x v="4"/>
    <x v="1"/>
    <n v="121.67"/>
    <x v="18"/>
    <n v="10"/>
    <n v="1216.7"/>
    <x v="0"/>
    <x v="1"/>
    <x v="1"/>
    <s v="OKEDU"/>
    <x v="5"/>
    <x v="1"/>
    <x v="0"/>
    <x v="0"/>
  </r>
  <r>
    <s v="T-100381"/>
    <d v="2025-09-29T00:00:00"/>
    <s v="​Kodjo Hounkpati  "/>
    <x v="3"/>
    <x v="2"/>
    <n v="163.52000000000001"/>
    <x v="20"/>
    <n v="11"/>
    <n v="13174.279999999999"/>
    <x v="0"/>
    <x v="0"/>
    <x v="1"/>
    <s v="OKEDU"/>
    <x v="2"/>
    <x v="3"/>
    <x v="1"/>
    <x v="1"/>
  </r>
  <r>
    <s v="T-100571"/>
    <d v="2025-08-19T00:00:00"/>
    <s v="Kodjo Gbogbo"/>
    <x v="0"/>
    <x v="3"/>
    <n v="118.31"/>
    <x v="5"/>
    <n v="17"/>
    <n v="2011.2"/>
    <x v="0"/>
    <x v="0"/>
    <x v="4"/>
    <s v="OKFMC"/>
    <x v="4"/>
    <x v="1"/>
    <x v="0"/>
    <x v="1"/>
  </r>
  <r>
    <s v="T-100567"/>
    <d v="2025-10-28T00:00:00"/>
    <s v="Mawuli Amouzou"/>
    <x v="3"/>
    <x v="3"/>
    <n v="101.39"/>
    <x v="15"/>
    <n v="10"/>
    <n v="1013.94"/>
    <x v="0"/>
    <x v="1"/>
    <x v="1"/>
    <s v="REVEDU"/>
    <x v="0"/>
    <x v="1"/>
    <x v="0"/>
    <x v="1"/>
  </r>
  <r>
    <s v="T-100762"/>
    <d v="2024-07-02T00:00:00"/>
    <s v="Kossi Agbo"/>
    <x v="4"/>
    <x v="4"/>
    <n v="6.86"/>
    <x v="12"/>
    <n v="120"/>
    <n v="166.2715"/>
    <x v="0"/>
    <x v="0"/>
    <x v="1"/>
    <s v="CHKEDU"/>
    <x v="5"/>
    <x v="1"/>
    <x v="0"/>
    <x v="0"/>
  </r>
  <r>
    <s v="T-100311"/>
    <d v="2025-09-02T00:00:00"/>
    <s v="Afi Lawson"/>
    <x v="4"/>
    <x v="2"/>
    <n v="68.42"/>
    <x v="12"/>
    <n v="10"/>
    <n v="684.19"/>
    <x v="0"/>
    <x v="1"/>
    <x v="2"/>
    <s v="REVÉNE"/>
    <x v="2"/>
    <x v="1"/>
    <x v="0"/>
    <x v="1"/>
  </r>
  <r>
    <s v="T-100541"/>
    <d v="2024-11-06T00:00:00"/>
    <s v="Sena Amouzou"/>
    <x v="1"/>
    <x v="4"/>
    <n v="116.36"/>
    <x v="11"/>
    <n v="11"/>
    <n v="1280"/>
    <x v="0"/>
    <x v="0"/>
    <x v="3"/>
    <s v="REVTEL"/>
    <x v="11"/>
    <x v="5"/>
    <x v="0"/>
    <x v="0"/>
  </r>
  <r>
    <s v="T-100216"/>
    <d v="2025-01-08T00:00:00"/>
    <s v="Eyram Tete"/>
    <x v="0"/>
    <x v="0"/>
    <n v="285.95999999999998"/>
    <x v="5"/>
    <n v="12"/>
    <n v="3431.55"/>
    <x v="0"/>
    <x v="0"/>
    <x v="4"/>
    <s v="REVFMC"/>
    <x v="3"/>
    <x v="5"/>
    <x v="0"/>
    <x v="1"/>
  </r>
  <r>
    <s v="T-100770"/>
    <d v="2024-01-14T00:00:00"/>
    <s v="Eyram Agbo"/>
    <x v="4"/>
    <x v="4"/>
    <n v="88.4"/>
    <x v="18"/>
    <n v="16"/>
    <n v="1414.47"/>
    <x v="0"/>
    <x v="0"/>
    <x v="2"/>
    <s v="REVÉNE"/>
    <x v="3"/>
    <x v="2"/>
    <x v="0"/>
    <x v="0"/>
  </r>
  <r>
    <s v="T-100087"/>
    <d v="2025-06-02T00:00:00"/>
    <s v="Eyram Kpodo"/>
    <x v="1"/>
    <x v="0"/>
    <n v="183.47"/>
    <x v="1"/>
    <n v="10"/>
    <n v="1834.74"/>
    <x v="0"/>
    <x v="1"/>
    <x v="4"/>
    <s v="REVFMC"/>
    <x v="10"/>
    <x v="3"/>
    <x v="0"/>
    <x v="1"/>
  </r>
  <r>
    <s v="T-100314"/>
    <d v="2024-04-05T00:00:00"/>
    <s v="Atsou Mensah"/>
    <x v="3"/>
    <x v="2"/>
    <n v="205.78"/>
    <x v="3"/>
    <n v="7"/>
    <n v="1440.48"/>
    <x v="0"/>
    <x v="1"/>
    <x v="2"/>
    <s v="CHKÉNE"/>
    <x v="1"/>
    <x v="4"/>
    <x v="0"/>
    <x v="0"/>
  </r>
  <r>
    <s v="T-100521"/>
    <d v="2025-08-27T00:00:00"/>
    <s v="Mawuli Kpodo"/>
    <x v="0"/>
    <x v="0"/>
    <n v="90.53"/>
    <x v="5"/>
    <n v="15"/>
    <n v="1358"/>
    <x v="0"/>
    <x v="0"/>
    <x v="4"/>
    <s v="REVFMC"/>
    <x v="4"/>
    <x v="5"/>
    <x v="0"/>
    <x v="1"/>
  </r>
  <r>
    <s v="T-100474"/>
    <d v="2024-07-22T00:00:00"/>
    <s v="Elom Kpodo"/>
    <x v="1"/>
    <x v="2"/>
    <n v="434.35"/>
    <x v="19"/>
    <n v="6"/>
    <n v="2606.0700000000002"/>
    <x v="0"/>
    <x v="1"/>
    <x v="4"/>
    <s v="OKFMC"/>
    <x v="5"/>
    <x v="3"/>
    <x v="0"/>
    <x v="0"/>
  </r>
  <r>
    <s v="T-100442"/>
    <d v="2024-06-25T00:00:00"/>
    <s v="Elom Kossi"/>
    <x v="4"/>
    <x v="3"/>
    <n v="122.78"/>
    <x v="12"/>
    <n v="9"/>
    <n v="1105.03"/>
    <x v="0"/>
    <x v="1"/>
    <x v="1"/>
    <s v="REVEDU"/>
    <x v="10"/>
    <x v="1"/>
    <x v="0"/>
    <x v="0"/>
  </r>
  <r>
    <s v="T-100548"/>
    <d v="2025-07-16T00:00:00"/>
    <s v="Elom Lawson"/>
    <x v="0"/>
    <x v="3"/>
    <n v="156.86000000000001"/>
    <x v="5"/>
    <n v="9"/>
    <n v="1411.76"/>
    <x v="0"/>
    <x v="1"/>
    <x v="3"/>
    <s v="CHKTEL"/>
    <x v="5"/>
    <x v="5"/>
    <x v="0"/>
    <x v="1"/>
  </r>
  <r>
    <s v="T-100543"/>
    <d v="2024-03-27T00:00:00"/>
    <s v="Atsou Lawson"/>
    <x v="1"/>
    <x v="0"/>
    <n v="65.28"/>
    <x v="9"/>
    <n v="202"/>
    <n v="13174.279999999999"/>
    <x v="0"/>
    <x v="0"/>
    <x v="4"/>
    <s v="CHKFMC"/>
    <x v="6"/>
    <x v="5"/>
    <x v="1"/>
    <x v="0"/>
  </r>
  <r>
    <s v="T-100186"/>
    <d v="2025-03-19T00:00:00"/>
    <s v="Sena Lawson"/>
    <x v="1"/>
    <x v="4"/>
    <n v="1667.83"/>
    <x v="19"/>
    <n v="1"/>
    <n v="1667.83"/>
    <x v="0"/>
    <x v="1"/>
    <x v="1"/>
    <s v="CHKEDU"/>
    <x v="6"/>
    <x v="5"/>
    <x v="0"/>
    <x v="1"/>
  </r>
  <r>
    <s v="T-100786"/>
    <d v="2025-03-14T00:00:00"/>
    <s v="Kodjo Hounkpati"/>
    <x v="4"/>
    <x v="4"/>
    <n v="160.5"/>
    <x v="14"/>
    <n v="5"/>
    <n v="802.51"/>
    <x v="0"/>
    <x v="1"/>
    <x v="2"/>
    <s v="CHKÉNE"/>
    <x v="6"/>
    <x v="4"/>
    <x v="0"/>
    <x v="1"/>
  </r>
  <r>
    <s v="T-100374"/>
    <d v="2025-08-27T00:00:00"/>
    <s v="​yawa gbogbo  "/>
    <x v="4"/>
    <x v="4"/>
    <n v="159.56"/>
    <x v="14"/>
    <n v="16"/>
    <n v="2553"/>
    <x v="0"/>
    <x v="0"/>
    <x v="2"/>
    <s v="REVÉNE"/>
    <x v="4"/>
    <x v="5"/>
    <x v="0"/>
    <x v="1"/>
  </r>
  <r>
    <s v="T-100570"/>
    <d v="2025-06-28T00:00:00"/>
    <s v="Akofa Agbo"/>
    <x v="4"/>
    <x v="3"/>
    <n v="115.26"/>
    <x v="12"/>
    <n v="10"/>
    <n v="1152.56"/>
    <x v="0"/>
    <x v="1"/>
    <x v="0"/>
    <s v="REVAGR"/>
    <x v="10"/>
    <x v="6"/>
    <x v="0"/>
    <x v="1"/>
  </r>
  <r>
    <s v="T-100163"/>
    <d v="2025-09-03T00:00:00"/>
    <s v="Elom Mensah"/>
    <x v="1"/>
    <x v="1"/>
    <n v="255.95"/>
    <x v="9"/>
    <n v="7"/>
    <n v="1791.64"/>
    <x v="0"/>
    <x v="1"/>
    <x v="1"/>
    <s v="CHKEDU"/>
    <x v="2"/>
    <x v="5"/>
    <x v="0"/>
    <x v="1"/>
  </r>
  <r>
    <s v="T-100135"/>
    <d v="2025-06-21T00:00:00"/>
    <s v="Eyram Kossi"/>
    <x v="4"/>
    <x v="3"/>
    <n v="181.06"/>
    <x v="6"/>
    <n v="9"/>
    <n v="1629.52"/>
    <x v="0"/>
    <x v="1"/>
    <x v="3"/>
    <s v="OKTEL"/>
    <x v="10"/>
    <x v="6"/>
    <x v="0"/>
    <x v="1"/>
  </r>
  <r>
    <s v="T-100032"/>
    <d v="2025-09-20T00:00:00"/>
    <s v="Eyram Amouzou"/>
    <x v="0"/>
    <x v="1"/>
    <n v="111.92"/>
    <x v="8"/>
    <n v="12"/>
    <n v="1343.05"/>
    <x v="0"/>
    <x v="0"/>
    <x v="3"/>
    <s v="OKTEL"/>
    <x v="2"/>
    <x v="6"/>
    <x v="0"/>
    <x v="1"/>
  </r>
  <r>
    <s v="T-100413"/>
    <d v="2025-02-09T00:00:00"/>
    <s v="Eyram Mensah"/>
    <x v="0"/>
    <x v="0"/>
    <n v="48.43"/>
    <x v="5"/>
    <n v="19"/>
    <n v="920.25"/>
    <x v="0"/>
    <x v="0"/>
    <x v="2"/>
    <s v="REVÉNE"/>
    <x v="8"/>
    <x v="2"/>
    <x v="0"/>
    <x v="1"/>
  </r>
  <r>
    <s v="T-100171"/>
    <d v="2025-08-11T00:00:00"/>
    <s v="Mawuli Gbogbo"/>
    <x v="3"/>
    <x v="4"/>
    <n v="1352"/>
    <x v="20"/>
    <n v="1"/>
    <n v="1352"/>
    <x v="0"/>
    <x v="1"/>
    <x v="4"/>
    <s v="OKFMC"/>
    <x v="4"/>
    <x v="3"/>
    <x v="0"/>
    <x v="1"/>
  </r>
  <r>
    <s v="T-100175"/>
    <d v="2024-03-03T00:00:00"/>
    <s v="kossi kpodo"/>
    <x v="4"/>
    <x v="2"/>
    <n v="187.03"/>
    <x v="18"/>
    <n v="10"/>
    <n v="1870.33"/>
    <x v="0"/>
    <x v="1"/>
    <x v="3"/>
    <s v="CHKTEL"/>
    <x v="6"/>
    <x v="2"/>
    <x v="0"/>
    <x v="0"/>
  </r>
  <r>
    <s v="T-100713"/>
    <d v="2024-10-10T00:00:00"/>
    <s v="​Sena Mensah  "/>
    <x v="1"/>
    <x v="3"/>
    <n v="11.29"/>
    <x v="1"/>
    <n v="116"/>
    <n v="1309.4000000000001"/>
    <x v="0"/>
    <x v="0"/>
    <x v="4"/>
    <s v="OKFMC"/>
    <x v="0"/>
    <x v="0"/>
    <x v="0"/>
    <x v="0"/>
  </r>
  <r>
    <s v="T-100042"/>
    <d v="2025-02-15T00:00:00"/>
    <s v="Mawuli Lawson"/>
    <x v="2"/>
    <x v="0"/>
    <n v="214.33"/>
    <x v="4"/>
    <n v="9"/>
    <n v="1929"/>
    <x v="0"/>
    <x v="1"/>
    <x v="3"/>
    <s v="OKTEL"/>
    <x v="8"/>
    <x v="6"/>
    <x v="0"/>
    <x v="1"/>
  </r>
  <r>
    <s v="T-100423"/>
    <d v="2024-04-22T00:00:00"/>
    <s v="Afi Mensah"/>
    <x v="0"/>
    <x v="4"/>
    <n v="52.85"/>
    <x v="8"/>
    <n v="15"/>
    <n v="792.82"/>
    <x v="2"/>
    <x v="0"/>
    <x v="4"/>
    <s v="OKFMC"/>
    <x v="1"/>
    <x v="3"/>
    <x v="0"/>
    <x v="0"/>
  </r>
  <r>
    <s v="T-100589"/>
    <d v="2024-09-30T00:00:00"/>
    <s v="Sena Lawson"/>
    <x v="2"/>
    <x v="3"/>
    <n v="210.78"/>
    <x v="16"/>
    <n v="7"/>
    <n v="1475.45"/>
    <x v="0"/>
    <x v="1"/>
    <x v="0"/>
    <s v="OKAGR"/>
    <x v="2"/>
    <x v="3"/>
    <x v="0"/>
    <x v="0"/>
  </r>
  <r>
    <s v="T-100437"/>
    <d v="2024-08-16T00:00:00"/>
    <s v="Afi Tete"/>
    <x v="2"/>
    <x v="0"/>
    <n v="139.36000000000001"/>
    <x v="4"/>
    <n v="9"/>
    <n v="1254.21"/>
    <x v="0"/>
    <x v="1"/>
    <x v="4"/>
    <s v="OKFMC"/>
    <x v="4"/>
    <x v="4"/>
    <x v="0"/>
    <x v="0"/>
  </r>
  <r>
    <s v="T-100475"/>
    <d v="2025-10-04T00:00:00"/>
    <s v="​Kodjo Tete  "/>
    <x v="2"/>
    <x v="2"/>
    <n v="161.51"/>
    <x v="2"/>
    <n v="14"/>
    <n v="2261.08"/>
    <x v="0"/>
    <x v="0"/>
    <x v="4"/>
    <s v="OKFMC"/>
    <x v="0"/>
    <x v="6"/>
    <x v="0"/>
    <x v="1"/>
  </r>
  <r>
    <s v="T-100066"/>
    <d v="2024-10-04T00:00:00"/>
    <s v="Sena Hounkpati"/>
    <x v="1"/>
    <x v="1"/>
    <n v="1471.7"/>
    <x v="19"/>
    <n v="1"/>
    <n v="1471.7"/>
    <x v="0"/>
    <x v="1"/>
    <x v="3"/>
    <s v="OKTEL"/>
    <x v="0"/>
    <x v="4"/>
    <x v="0"/>
    <x v="0"/>
  </r>
  <r>
    <s v="T-100520"/>
    <d v="2025-10-14T00:00:00"/>
    <s v="Kodjo Agbo"/>
    <x v="1"/>
    <x v="1"/>
    <n v="60.12"/>
    <x v="9"/>
    <n v="12"/>
    <n v="721.38"/>
    <x v="2"/>
    <x v="0"/>
    <x v="2"/>
    <s v="OKÉNE"/>
    <x v="0"/>
    <x v="1"/>
    <x v="0"/>
    <x v="1"/>
  </r>
  <r>
    <s v="T-100790"/>
    <d v="2024-09-11T00:00:00"/>
    <s v="Mawuli Gbogbo"/>
    <x v="2"/>
    <x v="1"/>
    <n v="176.51"/>
    <x v="7"/>
    <n v="16"/>
    <n v="2824.15"/>
    <x v="0"/>
    <x v="0"/>
    <x v="3"/>
    <s v="OKTEL"/>
    <x v="2"/>
    <x v="5"/>
    <x v="0"/>
    <x v="0"/>
  </r>
  <r>
    <s v="T-100648"/>
    <d v="2024-10-31T00:00:00"/>
    <s v="Afi Gbogbo"/>
    <x v="2"/>
    <x v="4"/>
    <n v="82.49"/>
    <x v="2"/>
    <n v="14"/>
    <n v="1154.8699999999999"/>
    <x v="0"/>
    <x v="0"/>
    <x v="4"/>
    <s v="OKFMC"/>
    <x v="0"/>
    <x v="0"/>
    <x v="0"/>
    <x v="0"/>
  </r>
  <r>
    <s v="T-100035"/>
    <d v="2025-05-17T00:00:00"/>
    <s v="Akofa Kpodo"/>
    <x v="0"/>
    <x v="2"/>
    <n v="184.92"/>
    <x v="5"/>
    <n v="9"/>
    <n v="1664.31"/>
    <x v="2"/>
    <x v="1"/>
    <x v="3"/>
    <s v="OKTEL"/>
    <x v="7"/>
    <x v="6"/>
    <x v="0"/>
    <x v="1"/>
  </r>
  <r>
    <s v="T-100610"/>
    <d v="2024-12-19T00:00:00"/>
    <s v="Client Unknown"/>
    <x v="3"/>
    <x v="0"/>
    <n v="20.21"/>
    <x v="17"/>
    <n v="84"/>
    <n v="1698"/>
    <x v="2"/>
    <x v="0"/>
    <x v="4"/>
    <s v="OKFMC"/>
    <x v="9"/>
    <x v="0"/>
    <x v="0"/>
    <x v="0"/>
  </r>
  <r>
    <s v="T-100211"/>
    <d v="2025-01-23T00:00:00"/>
    <s v="​Eyram Mensah  "/>
    <x v="0"/>
    <x v="3"/>
    <n v="163.41999999999999"/>
    <x v="5"/>
    <n v="12"/>
    <n v="1961.09"/>
    <x v="1"/>
    <x v="0"/>
    <x v="1"/>
    <s v="OKEDU"/>
    <x v="3"/>
    <x v="0"/>
    <x v="0"/>
    <x v="1"/>
  </r>
  <r>
    <s v="T-100604"/>
    <d v="2024-12-04T00:00:00"/>
    <s v="Kossi Gbogbo"/>
    <x v="0"/>
    <x v="4"/>
    <n v="12.05"/>
    <x v="8"/>
    <n v="126"/>
    <n v="1518.91"/>
    <x v="2"/>
    <x v="0"/>
    <x v="4"/>
    <s v="OKFMC"/>
    <x v="9"/>
    <x v="5"/>
    <x v="0"/>
    <x v="0"/>
  </r>
  <r>
    <s v="T-100506"/>
    <d v="2024-01-24T00:00:00"/>
    <s v="Mawuli Agbo"/>
    <x v="0"/>
    <x v="4"/>
    <n v="79.989999999999995"/>
    <x v="0"/>
    <n v="11"/>
    <n v="879.87"/>
    <x v="2"/>
    <x v="0"/>
    <x v="4"/>
    <s v="OKFMC"/>
    <x v="3"/>
    <x v="5"/>
    <x v="0"/>
    <x v="0"/>
  </r>
  <r>
    <s v="T-100775"/>
    <d v="2024-11-18T00:00:00"/>
    <s v="Mawuli Amouzou"/>
    <x v="3"/>
    <x v="2"/>
    <n v="160.08000000000001"/>
    <x v="17"/>
    <n v="12"/>
    <n v="1921"/>
    <x v="0"/>
    <x v="0"/>
    <x v="0"/>
    <s v="OKAGR"/>
    <x v="11"/>
    <x v="3"/>
    <x v="0"/>
    <x v="0"/>
  </r>
  <r>
    <s v="T-100100"/>
    <d v="2024-12-13T00:00:00"/>
    <s v="Akofa Kpodo"/>
    <x v="4"/>
    <x v="1"/>
    <n v="125.68"/>
    <x v="14"/>
    <n v="10"/>
    <n v="1256.8399999999999"/>
    <x v="0"/>
    <x v="1"/>
    <x v="4"/>
    <s v="OKFMC"/>
    <x v="9"/>
    <x v="4"/>
    <x v="0"/>
    <x v="0"/>
  </r>
  <r>
    <s v="T-100356"/>
    <d v="2024-01-24T00:00:00"/>
    <s v="Kossi Gbogbo"/>
    <x v="2"/>
    <x v="3"/>
    <n v="297.27999999999997"/>
    <x v="7"/>
    <n v="7"/>
    <n v="2080.9699999999998"/>
    <x v="0"/>
    <x v="1"/>
    <x v="1"/>
    <s v="OKEDU"/>
    <x v="3"/>
    <x v="5"/>
    <x v="0"/>
    <x v="0"/>
  </r>
  <r>
    <s v="T-100322"/>
    <d v="2024-05-12T00:00:00"/>
    <s v="Eyram Amouzou"/>
    <x v="4"/>
    <x v="1"/>
    <n v="46.05"/>
    <x v="12"/>
    <n v="20"/>
    <n v="921"/>
    <x v="0"/>
    <x v="0"/>
    <x v="1"/>
    <s v="OKEDU"/>
    <x v="7"/>
    <x v="2"/>
    <x v="0"/>
    <x v="0"/>
  </r>
  <r>
    <s v="T-100241"/>
    <d v="2024-05-21T00:00:00"/>
    <s v="Elom Gbogbo"/>
    <x v="3"/>
    <x v="3"/>
    <n v="66.41"/>
    <x v="10"/>
    <n v="12"/>
    <n v="796.91"/>
    <x v="2"/>
    <x v="0"/>
    <x v="3"/>
    <s v="OKTEL"/>
    <x v="7"/>
    <x v="1"/>
    <x v="0"/>
    <x v="0"/>
  </r>
  <r>
    <s v="T-100675"/>
    <d v="2025-02-01T00:00:00"/>
    <s v="Afi Gbogbo"/>
    <x v="4"/>
    <x v="4"/>
    <n v="47.77"/>
    <x v="18"/>
    <n v="14"/>
    <n v="668.81"/>
    <x v="0"/>
    <x v="0"/>
    <x v="3"/>
    <s v="OKTEL"/>
    <x v="8"/>
    <x v="6"/>
    <x v="0"/>
    <x v="1"/>
  </r>
  <r>
    <s v="T-100478"/>
    <d v="2024-06-08T00:00:00"/>
    <s v="Sena Tete"/>
    <x v="3"/>
    <x v="2"/>
    <n v="74.23"/>
    <x v="17"/>
    <n v="18"/>
    <n v="1336.23"/>
    <x v="0"/>
    <x v="0"/>
    <x v="3"/>
    <s v="OKTEL"/>
    <x v="10"/>
    <x v="6"/>
    <x v="0"/>
    <x v="0"/>
  </r>
  <r>
    <s v="T-100253"/>
    <d v="2024-09-17T00:00:00"/>
    <s v="​Elom Gbogbo  "/>
    <x v="0"/>
    <x v="0"/>
    <n v="202.38"/>
    <x v="13"/>
    <n v="12"/>
    <n v="2428.5700000000002"/>
    <x v="1"/>
    <x v="0"/>
    <x v="2"/>
    <s v="OKÉNE"/>
    <x v="2"/>
    <x v="1"/>
    <x v="0"/>
    <x v="0"/>
  </r>
  <r>
    <s v="T-100027"/>
    <d v="2024-04-13T00:00:00"/>
    <s v="Afi Gbogbo"/>
    <x v="0"/>
    <x v="2"/>
    <n v="444.64"/>
    <x v="8"/>
    <n v="6"/>
    <n v="2667.84"/>
    <x v="0"/>
    <x v="1"/>
    <x v="2"/>
    <s v="OKÉNE"/>
    <x v="1"/>
    <x v="6"/>
    <x v="0"/>
    <x v="0"/>
  </r>
  <r>
    <s v="T-100348"/>
    <d v="2024-08-31T00:00:00"/>
    <s v="Yawa Kpodo"/>
    <x v="2"/>
    <x v="0"/>
    <n v="199.75"/>
    <x v="7"/>
    <n v="10"/>
    <n v="1997.49"/>
    <x v="0"/>
    <x v="1"/>
    <x v="0"/>
    <s v="OKAGR"/>
    <x v="4"/>
    <x v="6"/>
    <x v="0"/>
    <x v="0"/>
  </r>
  <r>
    <s v="T-100259"/>
    <d v="2025-06-30T00:00:00"/>
    <s v="Client Unknown"/>
    <x v="3"/>
    <x v="4"/>
    <n v="157.55000000000001"/>
    <x v="17"/>
    <n v="11"/>
    <n v="1733"/>
    <x v="0"/>
    <x v="0"/>
    <x v="4"/>
    <s v="OKFMC"/>
    <x v="10"/>
    <x v="3"/>
    <x v="0"/>
    <x v="1"/>
  </r>
  <r>
    <s v="T-100297"/>
    <d v="2024-03-21T00:00:00"/>
    <s v="Kossi Hounkpati"/>
    <x v="2"/>
    <x v="2"/>
    <n v="183.65"/>
    <x v="16"/>
    <n v="8"/>
    <n v="1469.23"/>
    <x v="2"/>
    <x v="1"/>
    <x v="0"/>
    <s v="OKAGR"/>
    <x v="6"/>
    <x v="0"/>
    <x v="0"/>
    <x v="0"/>
  </r>
  <r>
    <s v="T-100125"/>
    <d v="2024-05-13T00:00:00"/>
    <s v="Afi Ayivi"/>
    <x v="0"/>
    <x v="3"/>
    <n v="404.52"/>
    <x v="0"/>
    <n v="9"/>
    <n v="3640.7"/>
    <x v="0"/>
    <x v="0"/>
    <x v="0"/>
    <s v="OKAGR"/>
    <x v="7"/>
    <x v="3"/>
    <x v="0"/>
    <x v="0"/>
  </r>
  <r>
    <s v="T-100225"/>
    <d v="2024-12-05T00:00:00"/>
    <s v="Kossi Kpodo"/>
    <x v="1"/>
    <x v="4"/>
    <n v="164.92"/>
    <x v="11"/>
    <n v="12"/>
    <n v="1979"/>
    <x v="0"/>
    <x v="0"/>
    <x v="1"/>
    <s v="OKEDU"/>
    <x v="9"/>
    <x v="0"/>
    <x v="0"/>
    <x v="0"/>
  </r>
  <r>
    <s v="T-100483"/>
    <d v="2025-04-15T00:00:00"/>
    <s v="yawa kpodo"/>
    <x v="3"/>
    <x v="0"/>
    <n v="120.14"/>
    <x v="15"/>
    <n v="10"/>
    <n v="1201.3800000000001"/>
    <x v="1"/>
    <x v="1"/>
    <x v="4"/>
    <s v="OKFMC"/>
    <x v="1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C1DFE-C137-4841-9AAA-8D55E854D27B}" name="repartitions des Cores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7">
  <location ref="G55:H5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Nombre de Revenu-category" fld="1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25CB4-0413-4B40-B1DB-DA03E5024751}" name="La ville avec le montant eleve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C19:D41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24">
        <item x="13"/>
        <item x="14"/>
        <item x="10"/>
        <item m="1" x="21"/>
        <item x="12"/>
        <item x="6"/>
        <item x="2"/>
        <item x="0"/>
        <item x="9"/>
        <item x="7"/>
        <item x="4"/>
        <item x="15"/>
        <item x="18"/>
        <item x="3"/>
        <item x="11"/>
        <item x="16"/>
        <item x="19"/>
        <item x="5"/>
        <item x="1"/>
        <item x="8"/>
        <item m="1" x="22"/>
        <item x="17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6"/>
  </rowFields>
  <rowItems count="22">
    <i>
      <x v="17"/>
    </i>
    <i>
      <x v="16"/>
    </i>
    <i>
      <x v="8"/>
    </i>
    <i>
      <x v="4"/>
    </i>
    <i>
      <x v="6"/>
    </i>
    <i>
      <x v="19"/>
    </i>
    <i>
      <x v="2"/>
    </i>
    <i>
      <x v="9"/>
    </i>
    <i>
      <x v="21"/>
    </i>
    <i>
      <x v="12"/>
    </i>
    <i>
      <x v="1"/>
    </i>
    <i>
      <x v="7"/>
    </i>
    <i>
      <x v="11"/>
    </i>
    <i>
      <x v="15"/>
    </i>
    <i>
      <x v="13"/>
    </i>
    <i>
      <x v="5"/>
    </i>
    <i>
      <x v="18"/>
    </i>
    <i>
      <x v="14"/>
    </i>
    <i>
      <x/>
    </i>
    <i>
      <x v="10"/>
    </i>
    <i>
      <x v="22"/>
    </i>
    <i t="grand">
      <x/>
    </i>
  </rowItems>
  <colItems count="1">
    <i/>
  </colItems>
  <dataFields count="1">
    <dataField name="Somme de Montant" fld="8" baseField="6" baseItem="0" numFmtId="1"/>
  </dataFields>
  <formats count="7">
    <format dxfId="12">
      <pivotArea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492EF-FACD-4E14-AF01-5D06FBE2ABA3}" name="Les 03 meilleurs Lignes de produits vendus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C46:D50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1"/>
  </rowFields>
  <rowItems count="4">
    <i>
      <x v="1"/>
    </i>
    <i>
      <x v="3"/>
    </i>
    <i>
      <x v="4"/>
    </i>
    <i t="grand">
      <x/>
    </i>
  </rowItems>
  <colItems count="1">
    <i/>
  </colItems>
  <dataFields count="1">
    <dataField name="Somme de Quantite" fld="7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1" type="button" dataOnly="0" labelOnly="1" outline="0" axis="axisRow" fieldPosition="0"/>
    </format>
    <format dxfId="15">
      <pivotArea dataOnly="0" labelOnly="1" fieldPosition="0">
        <references count="1">
          <reference field="11" count="3">
            <x v="1"/>
            <x v="3"/>
            <x v="4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ADAB-73B5-4388-B5D7-F70091B412B9}" name="Tendance Mensuelle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7">
  <location ref="G37:H50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x="3"/>
        <item x="8"/>
        <item x="6"/>
        <item x="1"/>
        <item x="7"/>
        <item x="10"/>
        <item x="5"/>
        <item x="4"/>
        <item x="2"/>
        <item x="0"/>
        <item x="11"/>
        <item x="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Montant" fld="8" baseField="0" baseItem="0" numFmtId="1"/>
  </dataFields>
  <formats count="7">
    <format dxfId="25">
      <pivotArea outline="0" collapsedLevelsAreSubtotals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3" type="button" dataOnly="0" labelOnly="1" outline="0" axis="axisRow" fieldPosition="0"/>
    </format>
    <format dxfId="21">
      <pivotArea dataOnly="0" labelOnly="1" fieldPosition="0">
        <references count="1">
          <reference field="13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7DBD6-E855-4472-857A-4D8B34F43B84}" name="Top 5 des produits vendus par montants et quantites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3">
  <location ref="C78:E84" firstHeaderRow="0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1"/>
  </rowFields>
  <rowItems count="6">
    <i>
      <x v="3"/>
    </i>
    <i>
      <x v="1"/>
    </i>
    <i>
      <x v="4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Quantite" fld="7" baseField="0" baseItem="0"/>
    <dataField name="Somme de Montant" fld="8" baseField="0" baseItem="0" numFmtId="1"/>
  </dataFields>
  <formats count="7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1" type="button" dataOnly="0" labelOnly="1" outline="0" axis="axisRow" fieldPosition="0"/>
    </format>
    <format dxfId="28">
      <pivotArea dataOnly="0" labelOnly="1" fieldPosition="0">
        <references count="1">
          <reference field="11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946A6-8031-4C4D-B881-E5DF34523B07}" name="Repartition des pourcentages en Status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5">
  <location ref="G28:H32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Etat-status" fld="9" subtotal="count" showDataAs="percentOfTotal" baseField="0" baseItem="0" numFmtId="9"/>
  </dataFields>
  <formats count="7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9" type="button" dataOnly="0" labelOnly="1" outline="0" axis="axisRow" fieldPosition="0"/>
    </format>
    <format dxfId="35">
      <pivotArea dataOnly="0" labelOnly="1" fieldPosition="0">
        <references count="1">
          <reference field="9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10133-BA71-4398-BC15-B50D6743CBF6}" name="Valeurs Aberantes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G63:H66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Nombre de Outliers" fld="15" subtotal="count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5" type="button" dataOnly="0" labelOnly="1" outline="0" axis="axisRow" fieldPosition="0"/>
    </format>
    <format dxfId="42">
      <pivotArea dataOnly="0" labelOnly="1" fieldPosition="0">
        <references count="1">
          <reference field="15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FEA41-C4B4-4655-B5F4-B262D1EB022C}" name="Moyene des Montant par region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1">
  <location ref="C7:D13" firstHeaderRow="1" firstDataRow="1" firstDataCol="1"/>
  <pivotFields count="17">
    <pivotField showAll="0"/>
    <pivotField numFmtId="14" showAll="0"/>
    <pivotField showAll="0"/>
    <pivotField axis="axisRow" showAll="0" sortType="a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3">
        <item x="3"/>
        <item x="8"/>
        <item x="6"/>
        <item x="1"/>
        <item x="7"/>
        <item x="10"/>
        <item x="5"/>
        <item x="4"/>
        <item x="2"/>
        <item x="0"/>
        <item x="11"/>
        <item x="9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Moyenne de Montant" fld="8" subtotal="average" baseField="3" baseItem="0" numFmtId="1"/>
  </dataFields>
  <formats count="8">
    <format dxfId="53">
      <pivotArea collapsedLevelsAreSubtotals="1" fieldPosition="0">
        <references count="1">
          <reference field="3" count="0"/>
        </references>
      </pivotArea>
    </format>
    <format dxfId="52">
      <pivotArea outline="0" collapsedLevelsAreSubtotals="1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4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94FB1-328F-49A5-AA40-3773A1D02358}" name="Repartition des Core /Non-Core par Region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7">
  <location ref="G17:J24" firstHeaderRow="1" firstDataRow="2" firstDataCol="1"/>
  <pivotFields count="17">
    <pivotField dataField="1" showAll="0"/>
    <pivotField numFmtId="14"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Nombre de TransactionID" fld="0" subtotal="count" baseField="0" baseItem="0"/>
  </dataFields>
  <formats count="10"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10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3" type="button" dataOnly="0" labelOnly="1" outline="0" axis="axisRow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10" count="0"/>
        </references>
      </pivotArea>
    </format>
    <format dxfId="5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BDDF7-3D62-462F-990B-8A105F429ED3}" name="Moyenne  des ventes par departement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G7:H13" firstHeaderRow="1" firstDataRow="1" firstDataCol="1"/>
  <pivotFields count="17">
    <pivotField showAll="0"/>
    <pivotField numFmtId="14" showAll="0"/>
    <pivotField showAll="0"/>
    <pivotField showAll="0"/>
    <pivotField axis="axisRow" showAll="0" sortType="a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4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Moyenne de Montant" fld="8" subtotal="average" baseField="4" baseItem="0" numFmtId="1"/>
  </dataFields>
  <formats count="7"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4" type="button" dataOnly="0" labelOnly="1" outline="0" axis="axisRow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7659E-AAB0-4637-BCA5-7037085153AF}" name="Le Jour avec plus de vente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C55:D63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1"/>
        <item x="5"/>
        <item x="0"/>
        <item x="4"/>
        <item x="6"/>
        <item t="default"/>
      </items>
    </pivotField>
    <pivotField showAll="0"/>
    <pivotField showAll="0">
      <items count="3">
        <item x="0"/>
        <item x="1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me de Montant" fld="8" baseField="0" baseItem="0" numFmtId="1"/>
  </dataFields>
  <formats count="7">
    <format dxfId="77">
      <pivotArea outline="0" collapsedLevelsAreSubtotals="1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4" type="button" dataOnly="0" labelOnly="1" outline="0" axis="axisRow" fieldPosition="0"/>
    </format>
    <format dxfId="73">
      <pivotArea dataOnly="0" labelOnly="1" fieldPosition="0">
        <references count="1">
          <reference field="14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chartFormats count="6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49FB2DBB-79D3-4315-81B2-73EC127BB0A7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4"/>
      <queryTableField id="2" name="Date" tableColumnId="2"/>
      <queryTableField id="3" name="CustomerName" tableColumnId="3"/>
      <queryTableField id="4" name="Region" tableColumnId="4"/>
      <queryTableField id="5" name="Department" tableColumnId="5"/>
      <queryTableField id="6" name="PricePerUnit" tableColumnId="6"/>
      <queryTableField id="7" name="Ville" tableColumnId="7"/>
      <queryTableField id="8" name="Quantite" tableColumnId="8"/>
      <queryTableField id="9" name="Montant" tableColumnId="9"/>
      <queryTableField id="10" name="Etat-status" tableColumnId="10"/>
      <queryTableField id="11" name="Revenu-category" tableColumnId="11"/>
      <queryTableField id="12" name="Ligne Produits" tableColumnId="12"/>
      <queryTableField id="13" name="Index" tableColumnId="13"/>
      <queryTableField id="14" name="Mois" tableColumnId="15"/>
      <queryTableField id="15" name="Jour" tableColumnId="16"/>
      <queryTableField id="16" name="Outliers" tableColumnId="1"/>
      <queryTableField id="17" name="Année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634D0B54-1551-4186-9BA1-E2516F3D3278}" sourceName="Année">
  <pivotTables>
    <pivotTable tabId="1" name="Moyene des Montant par region"/>
    <pivotTable tabId="1" name="La ville avec le montant eleve"/>
    <pivotTable tabId="1" name="Le Jour avec plus de vente"/>
    <pivotTable tabId="1" name="Les 03 meilleurs Lignes de produits vendus"/>
    <pivotTable tabId="1" name="Moyenne  des ventes par departement"/>
    <pivotTable tabId="1" name="Repartition des Core /Non-Core par Region"/>
    <pivotTable tabId="1" name="Repartition des pourcentages en Status"/>
    <pivotTable tabId="1" name="repartitions des Cores"/>
    <pivotTable tabId="1" name="Tendance Mensuelle"/>
    <pivotTable tabId="1" name="Top 5 des produits vendus par montants et quantites"/>
    <pivotTable tabId="1" name="Valeurs Aberantes"/>
  </pivotTables>
  <data>
    <tabular pivotCacheId="41599331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" xr10:uid="{B477EC8F-EA91-464F-A503-9D69EC2B2EE1}" sourceName="Mois">
  <pivotTables>
    <pivotTable tabId="1" name="Moyene des Montant par region"/>
  </pivotTables>
  <data>
    <tabular pivotCacheId="415993315">
      <items count="12">
        <i x="3" s="1"/>
        <i x="8" s="1"/>
        <i x="6" s="1"/>
        <i x="1" s="1"/>
        <i x="7" s="1"/>
        <i x="10" s="1"/>
        <i x="5" s="1"/>
        <i x="4" s="1"/>
        <i x="2" s="1"/>
        <i x="0" s="1"/>
        <i x="11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" xr10:uid="{29876968-2BB7-4330-B938-3B9ECCD0984E}" cache="Segment_Année" caption="Année" columnCount="2" style="SlicerStyleOther2" rowHeight="241300"/>
  <slicer name="Mois 1" xr10:uid="{8BF828E5-55AE-415F-A3FA-247CC485AD0D}" cache="Segment_Mois1" caption="Mois" columnCount="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 1" xr10:uid="{67A72D7E-BDA2-426E-BC40-85FC18F7343A}" cache="Segment_Année" caption="Année" columnCount="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CEBD4-959A-4821-BAD3-78EE2B6CC9C2}" name="transactions_evaluation" displayName="transactions_evaluation" ref="A1:Q861" tableType="queryTable" totalsRowShown="0" headerRowDxfId="94" dataDxfId="93">
  <autoFilter ref="A1:Q861" xr:uid="{EBACEBD4-959A-4821-BAD3-78EE2B6CC9C2}">
    <filterColumn colId="16">
      <filters>
        <filter val="2025"/>
      </filters>
    </filterColumn>
  </autoFilter>
  <tableColumns count="17">
    <tableColumn id="14" xr3:uid="{C90B07B2-F07F-4BB1-B0C2-56B02ADA5487}" uniqueName="14" name="TransactionID" queryTableFieldId="1" dataDxfId="92"/>
    <tableColumn id="2" xr3:uid="{4360ED09-75EA-4B5B-8BB5-27D5DB297717}" uniqueName="2" name="Date" queryTableFieldId="2" dataDxfId="91"/>
    <tableColumn id="3" xr3:uid="{32422DE7-C432-4DA5-A2E9-7F363381F9FD}" uniqueName="3" name="CustomerName" queryTableFieldId="3" dataDxfId="90"/>
    <tableColumn id="4" xr3:uid="{9F1CD55C-13E3-48D0-9938-33CDCCE1799A}" uniqueName="4" name="Region" queryTableFieldId="4" dataDxfId="89"/>
    <tableColumn id="5" xr3:uid="{0E5828AB-F014-45F8-9173-BAEE458C0B08}" uniqueName="5" name="Department" queryTableFieldId="5" dataDxfId="88"/>
    <tableColumn id="6" xr3:uid="{F86AEC31-7799-418E-8D26-410BB14AA968}" uniqueName="6" name="PricePerUnit" queryTableFieldId="6" dataDxfId="87"/>
    <tableColumn id="7" xr3:uid="{7D219C67-08BF-48EE-B436-C00DB996BC8C}" uniqueName="7" name="Ville" queryTableFieldId="7" dataDxfId="86"/>
    <tableColumn id="8" xr3:uid="{19093120-DCD6-4536-9E14-7AF48EBA5335}" uniqueName="8" name="Quantite" queryTableFieldId="8" dataDxfId="85"/>
    <tableColumn id="9" xr3:uid="{1E67A5F0-F018-4787-B2C0-25AFF8B25034}" uniqueName="9" name="Montant" queryTableFieldId="9" dataDxfId="84"/>
    <tableColumn id="10" xr3:uid="{1E521176-F738-48C8-BE58-A2C67843E551}" uniqueName="10" name="Etat-status" queryTableFieldId="10" dataDxfId="83"/>
    <tableColumn id="11" xr3:uid="{6CC9137A-3F46-408F-A2B4-E71A739F4AEC}" uniqueName="11" name="Revenu-category" queryTableFieldId="11" dataDxfId="82"/>
    <tableColumn id="12" xr3:uid="{10431A89-C6FE-4913-83C6-BB757189E503}" uniqueName="12" name="Ligne Produits" queryTableFieldId="12" dataDxfId="81"/>
    <tableColumn id="13" xr3:uid="{7C4F89DB-8F21-4D25-80D2-D7BC7C2C9653}" uniqueName="13" name="Index" queryTableFieldId="13" dataDxfId="80"/>
    <tableColumn id="15" xr3:uid="{83DCF907-F3F3-412C-BC64-BA89E7B139FB}" uniqueName="15" name="Mois" queryTableFieldId="14" dataDxfId="79"/>
    <tableColumn id="16" xr3:uid="{92CB0041-8303-480C-9218-448F95718008}" uniqueName="16" name="Jour" queryTableFieldId="15" dataDxfId="78"/>
    <tableColumn id="1" xr3:uid="{8D7D037F-32B3-4AA7-B55D-7D7F80958768}" uniqueName="1" name="Outliers" queryTableFieldId="16"/>
    <tableColumn id="17" xr3:uid="{BF4C3731-63AF-4D73-98E2-BAB9163A0C20}" uniqueName="17" name="Anné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FF2E-FA48-4B59-8FF1-06413531011C}">
  <dimension ref="A1:Q861"/>
  <sheetViews>
    <sheetView topLeftCell="F1" workbookViewId="0">
      <selection activeCell="M19" sqref="A2:Q861"/>
    </sheetView>
  </sheetViews>
  <sheetFormatPr baseColWidth="10" defaultRowHeight="15" x14ac:dyDescent="0.25"/>
  <cols>
    <col min="1" max="1" width="15.5703125" bestFit="1" customWidth="1"/>
    <col min="2" max="2" width="12.42578125" bestFit="1" customWidth="1"/>
    <col min="3" max="3" width="17" bestFit="1" customWidth="1"/>
    <col min="4" max="4" width="9.5703125" bestFit="1" customWidth="1"/>
    <col min="5" max="5" width="13.7109375" bestFit="1" customWidth="1"/>
    <col min="6" max="6" width="14.140625" bestFit="1" customWidth="1"/>
    <col min="7" max="7" width="16.28515625" bestFit="1" customWidth="1"/>
    <col min="8" max="8" width="11" bestFit="1" customWidth="1"/>
    <col min="9" max="9" width="10.7109375" bestFit="1" customWidth="1"/>
    <col min="10" max="10" width="12.42578125" bestFit="1" customWidth="1"/>
    <col min="11" max="11" width="18.5703125" bestFit="1" customWidth="1"/>
    <col min="12" max="12" width="15.85546875" bestFit="1" customWidth="1"/>
    <col min="13" max="13" width="8.85546875" bestFit="1" customWidth="1"/>
    <col min="14" max="14" width="7.5703125" bestFit="1" customWidth="1"/>
    <col min="15" max="15" width="7.140625" bestFit="1" customWidth="1"/>
    <col min="16" max="16" width="10.42578125" bestFit="1" customWidth="1"/>
    <col min="17" max="17" width="9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1044</v>
      </c>
      <c r="O1" s="2" t="s">
        <v>1045</v>
      </c>
      <c r="P1" t="s">
        <v>1077</v>
      </c>
      <c r="Q1" t="s">
        <v>1086</v>
      </c>
    </row>
    <row r="2" spans="1:17" hidden="1" x14ac:dyDescent="0.25">
      <c r="A2" s="1" t="s">
        <v>13</v>
      </c>
      <c r="B2" s="3">
        <v>45568</v>
      </c>
      <c r="C2" s="1" t="s">
        <v>14</v>
      </c>
      <c r="D2" s="1" t="s">
        <v>15</v>
      </c>
      <c r="E2" s="1" t="s">
        <v>16</v>
      </c>
      <c r="F2" s="1">
        <v>131.19</v>
      </c>
      <c r="G2" s="1" t="s">
        <v>17</v>
      </c>
      <c r="H2" s="1">
        <v>12</v>
      </c>
      <c r="I2" s="1">
        <v>1574.28</v>
      </c>
      <c r="J2" s="1" t="s">
        <v>18</v>
      </c>
      <c r="K2" s="1" t="s">
        <v>19</v>
      </c>
      <c r="L2" s="1" t="s">
        <v>20</v>
      </c>
      <c r="M2" s="1" t="s">
        <v>21</v>
      </c>
      <c r="N2" s="2" t="s">
        <v>1046</v>
      </c>
      <c r="O2" s="2" t="s">
        <v>1047</v>
      </c>
      <c r="P2" t="s">
        <v>1079</v>
      </c>
      <c r="Q2">
        <v>2024</v>
      </c>
    </row>
    <row r="3" spans="1:17" hidden="1" x14ac:dyDescent="0.25">
      <c r="A3" s="1" t="s">
        <v>22</v>
      </c>
      <c r="B3" s="3">
        <v>45393</v>
      </c>
      <c r="C3" s="1" t="s">
        <v>23</v>
      </c>
      <c r="D3" s="1" t="s">
        <v>24</v>
      </c>
      <c r="E3" s="1" t="s">
        <v>25</v>
      </c>
      <c r="F3" s="1">
        <v>30.58</v>
      </c>
      <c r="G3" s="1" t="s">
        <v>26</v>
      </c>
      <c r="H3" s="1">
        <v>21</v>
      </c>
      <c r="I3" s="1">
        <v>642.23</v>
      </c>
      <c r="J3" s="1" t="s">
        <v>18</v>
      </c>
      <c r="K3" s="1" t="s">
        <v>19</v>
      </c>
      <c r="L3" s="1" t="s">
        <v>27</v>
      </c>
      <c r="M3" s="1" t="s">
        <v>28</v>
      </c>
      <c r="N3" s="2" t="s">
        <v>1048</v>
      </c>
      <c r="O3" s="2" t="s">
        <v>1047</v>
      </c>
      <c r="P3" t="s">
        <v>1079</v>
      </c>
      <c r="Q3">
        <v>2024</v>
      </c>
    </row>
    <row r="4" spans="1:17" hidden="1" x14ac:dyDescent="0.25">
      <c r="A4" s="1" t="s">
        <v>29</v>
      </c>
      <c r="B4" s="3">
        <v>45561</v>
      </c>
      <c r="C4" s="1" t="s">
        <v>30</v>
      </c>
      <c r="D4" s="1" t="s">
        <v>31</v>
      </c>
      <c r="E4" s="1" t="s">
        <v>16</v>
      </c>
      <c r="F4" s="1">
        <v>2441.81</v>
      </c>
      <c r="G4" s="1" t="s">
        <v>32</v>
      </c>
      <c r="H4" s="1">
        <v>0</v>
      </c>
      <c r="I4" s="1">
        <v>0</v>
      </c>
      <c r="J4" s="1" t="s">
        <v>33</v>
      </c>
      <c r="K4" s="1" t="s">
        <v>34</v>
      </c>
      <c r="L4" s="1" t="s">
        <v>35</v>
      </c>
      <c r="M4" s="1" t="s">
        <v>36</v>
      </c>
      <c r="N4" s="2" t="s">
        <v>1049</v>
      </c>
      <c r="O4" s="2" t="s">
        <v>1047</v>
      </c>
      <c r="P4" t="s">
        <v>1079</v>
      </c>
      <c r="Q4">
        <v>2024</v>
      </c>
    </row>
    <row r="5" spans="1:17" x14ac:dyDescent="0.25">
      <c r="A5" s="1" t="s">
        <v>37</v>
      </c>
      <c r="B5" s="3">
        <v>45764</v>
      </c>
      <c r="C5" s="1" t="s">
        <v>38</v>
      </c>
      <c r="D5" s="1" t="s">
        <v>39</v>
      </c>
      <c r="E5" s="1" t="s">
        <v>25</v>
      </c>
      <c r="F5" s="1">
        <v>271.68</v>
      </c>
      <c r="G5" s="1" t="s">
        <v>40</v>
      </c>
      <c r="H5" s="1">
        <v>5</v>
      </c>
      <c r="I5" s="1">
        <v>1358.39</v>
      </c>
      <c r="J5" s="1" t="s">
        <v>18</v>
      </c>
      <c r="K5" s="1" t="s">
        <v>34</v>
      </c>
      <c r="L5" s="1" t="s">
        <v>41</v>
      </c>
      <c r="M5" s="1" t="s">
        <v>42</v>
      </c>
      <c r="N5" s="2" t="s">
        <v>1048</v>
      </c>
      <c r="O5" s="2" t="s">
        <v>1047</v>
      </c>
      <c r="P5" t="s">
        <v>1079</v>
      </c>
      <c r="Q5">
        <v>2025</v>
      </c>
    </row>
    <row r="6" spans="1:17" hidden="1" x14ac:dyDescent="0.25">
      <c r="A6" s="1" t="s">
        <v>43</v>
      </c>
      <c r="B6" s="3">
        <v>45302</v>
      </c>
      <c r="C6" s="1" t="s">
        <v>44</v>
      </c>
      <c r="D6" s="1" t="s">
        <v>31</v>
      </c>
      <c r="E6" s="1" t="s">
        <v>45</v>
      </c>
      <c r="F6" s="1">
        <v>2150</v>
      </c>
      <c r="G6" s="1" t="s">
        <v>46</v>
      </c>
      <c r="H6" s="1">
        <v>1</v>
      </c>
      <c r="I6" s="1">
        <v>2150</v>
      </c>
      <c r="J6" s="1" t="s">
        <v>18</v>
      </c>
      <c r="K6" s="1" t="s">
        <v>34</v>
      </c>
      <c r="L6" s="1" t="s">
        <v>47</v>
      </c>
      <c r="M6" s="1" t="s">
        <v>48</v>
      </c>
      <c r="N6" s="2" t="s">
        <v>1050</v>
      </c>
      <c r="O6" s="2" t="s">
        <v>1047</v>
      </c>
      <c r="P6" t="s">
        <v>1079</v>
      </c>
      <c r="Q6">
        <v>2024</v>
      </c>
    </row>
    <row r="7" spans="1:17" hidden="1" x14ac:dyDescent="0.25">
      <c r="A7" s="1" t="s">
        <v>49</v>
      </c>
      <c r="B7" s="3">
        <v>45505</v>
      </c>
      <c r="C7" s="1" t="s">
        <v>50</v>
      </c>
      <c r="D7" s="1" t="s">
        <v>15</v>
      </c>
      <c r="E7" s="1" t="s">
        <v>25</v>
      </c>
      <c r="F7" s="1">
        <v>152.44999999999999</v>
      </c>
      <c r="G7" s="1" t="s">
        <v>51</v>
      </c>
      <c r="H7" s="1">
        <v>13</v>
      </c>
      <c r="I7" s="1">
        <v>1981.89</v>
      </c>
      <c r="J7" s="1" t="s">
        <v>18</v>
      </c>
      <c r="K7" s="1" t="s">
        <v>19</v>
      </c>
      <c r="L7" s="1" t="s">
        <v>35</v>
      </c>
      <c r="M7" s="1" t="s">
        <v>52</v>
      </c>
      <c r="N7" s="2" t="s">
        <v>1051</v>
      </c>
      <c r="O7" s="2" t="s">
        <v>1047</v>
      </c>
      <c r="P7" t="s">
        <v>1079</v>
      </c>
      <c r="Q7">
        <v>2024</v>
      </c>
    </row>
    <row r="8" spans="1:17" x14ac:dyDescent="0.25">
      <c r="A8" s="1" t="s">
        <v>53</v>
      </c>
      <c r="B8" s="3">
        <v>45846</v>
      </c>
      <c r="C8" s="1" t="s">
        <v>54</v>
      </c>
      <c r="D8" s="1" t="s">
        <v>55</v>
      </c>
      <c r="E8" s="1" t="s">
        <v>25</v>
      </c>
      <c r="F8" s="1">
        <v>314.77999999999997</v>
      </c>
      <c r="G8" s="1" t="s">
        <v>56</v>
      </c>
      <c r="H8" s="1">
        <v>10</v>
      </c>
      <c r="I8" s="1">
        <v>3147.8</v>
      </c>
      <c r="J8" s="1" t="s">
        <v>33</v>
      </c>
      <c r="K8" s="1" t="s">
        <v>19</v>
      </c>
      <c r="L8" s="1" t="s">
        <v>41</v>
      </c>
      <c r="M8" s="1" t="s">
        <v>42</v>
      </c>
      <c r="N8" s="2" t="s">
        <v>1052</v>
      </c>
      <c r="O8" s="2" t="s">
        <v>1053</v>
      </c>
      <c r="P8" t="s">
        <v>1079</v>
      </c>
      <c r="Q8">
        <v>2025</v>
      </c>
    </row>
    <row r="9" spans="1:17" x14ac:dyDescent="0.25">
      <c r="A9" s="1" t="s">
        <v>57</v>
      </c>
      <c r="B9" s="3">
        <v>45876</v>
      </c>
      <c r="C9" s="1" t="s">
        <v>58</v>
      </c>
      <c r="D9" s="1" t="s">
        <v>31</v>
      </c>
      <c r="E9" s="1" t="s">
        <v>25</v>
      </c>
      <c r="F9" s="1">
        <v>259.10000000000002</v>
      </c>
      <c r="G9" s="1" t="s">
        <v>31</v>
      </c>
      <c r="H9" s="1">
        <v>9</v>
      </c>
      <c r="I9" s="1">
        <v>2331.88</v>
      </c>
      <c r="J9" s="1" t="s">
        <v>18</v>
      </c>
      <c r="K9" s="1" t="s">
        <v>34</v>
      </c>
      <c r="L9" s="1" t="s">
        <v>27</v>
      </c>
      <c r="M9" s="1" t="s">
        <v>59</v>
      </c>
      <c r="N9" s="2" t="s">
        <v>1051</v>
      </c>
      <c r="O9" s="2" t="s">
        <v>1047</v>
      </c>
      <c r="P9" t="s">
        <v>1079</v>
      </c>
      <c r="Q9">
        <v>2025</v>
      </c>
    </row>
    <row r="10" spans="1:17" hidden="1" x14ac:dyDescent="0.25">
      <c r="A10" s="1" t="s">
        <v>60</v>
      </c>
      <c r="B10" s="3">
        <v>45368</v>
      </c>
      <c r="C10" s="1" t="s">
        <v>61</v>
      </c>
      <c r="D10" s="1" t="s">
        <v>15</v>
      </c>
      <c r="E10" s="1" t="s">
        <v>16</v>
      </c>
      <c r="F10" s="1">
        <v>333.85</v>
      </c>
      <c r="G10" s="1" t="s">
        <v>62</v>
      </c>
      <c r="H10" s="1">
        <v>15</v>
      </c>
      <c r="I10" s="1">
        <v>5007.74</v>
      </c>
      <c r="J10" s="1" t="s">
        <v>63</v>
      </c>
      <c r="K10" s="1" t="s">
        <v>19</v>
      </c>
      <c r="L10" s="1" t="s">
        <v>20</v>
      </c>
      <c r="M10" s="1" t="s">
        <v>64</v>
      </c>
      <c r="N10" s="2" t="s">
        <v>1054</v>
      </c>
      <c r="O10" s="2" t="s">
        <v>1055</v>
      </c>
      <c r="P10" t="s">
        <v>1078</v>
      </c>
      <c r="Q10">
        <v>2024</v>
      </c>
    </row>
    <row r="11" spans="1:17" hidden="1" x14ac:dyDescent="0.25">
      <c r="A11" s="1" t="s">
        <v>65</v>
      </c>
      <c r="B11" s="3">
        <v>45390</v>
      </c>
      <c r="C11" s="1" t="s">
        <v>66</v>
      </c>
      <c r="D11" s="1" t="s">
        <v>24</v>
      </c>
      <c r="E11" s="1" t="s">
        <v>67</v>
      </c>
      <c r="F11" s="1">
        <v>1882.51</v>
      </c>
      <c r="G11" s="1" t="s">
        <v>68</v>
      </c>
      <c r="H11" s="1">
        <v>1</v>
      </c>
      <c r="I11" s="1">
        <v>1882.51</v>
      </c>
      <c r="J11" s="1" t="s">
        <v>63</v>
      </c>
      <c r="K11" s="1" t="s">
        <v>34</v>
      </c>
      <c r="L11" s="1" t="s">
        <v>20</v>
      </c>
      <c r="M11" s="1" t="s">
        <v>64</v>
      </c>
      <c r="N11" s="2" t="s">
        <v>1048</v>
      </c>
      <c r="O11" s="2" t="s">
        <v>1056</v>
      </c>
      <c r="P11" t="s">
        <v>1079</v>
      </c>
      <c r="Q11">
        <v>2024</v>
      </c>
    </row>
    <row r="12" spans="1:17" hidden="1" x14ac:dyDescent="0.25">
      <c r="A12" s="1" t="s">
        <v>69</v>
      </c>
      <c r="B12" s="3">
        <v>45415</v>
      </c>
      <c r="C12" s="1" t="s">
        <v>70</v>
      </c>
      <c r="D12" s="1" t="s">
        <v>39</v>
      </c>
      <c r="E12" s="1" t="s">
        <v>71</v>
      </c>
      <c r="F12" s="1">
        <v>1444</v>
      </c>
      <c r="G12" s="1" t="s">
        <v>72</v>
      </c>
      <c r="H12" s="1">
        <v>1</v>
      </c>
      <c r="I12" s="1">
        <v>1444</v>
      </c>
      <c r="J12" s="1" t="s">
        <v>18</v>
      </c>
      <c r="K12" s="1" t="s">
        <v>34</v>
      </c>
      <c r="L12" s="1" t="s">
        <v>20</v>
      </c>
      <c r="M12" s="1" t="s">
        <v>64</v>
      </c>
      <c r="N12" s="2" t="s">
        <v>1057</v>
      </c>
      <c r="O12" s="2" t="s">
        <v>1058</v>
      </c>
      <c r="P12" t="s">
        <v>1079</v>
      </c>
      <c r="Q12">
        <v>2024</v>
      </c>
    </row>
    <row r="13" spans="1:17" x14ac:dyDescent="0.25">
      <c r="A13" s="1" t="s">
        <v>73</v>
      </c>
      <c r="B13" s="3">
        <v>45905</v>
      </c>
      <c r="C13" s="1" t="s">
        <v>74</v>
      </c>
      <c r="D13" s="1" t="s">
        <v>24</v>
      </c>
      <c r="E13" s="1" t="s">
        <v>25</v>
      </c>
      <c r="F13" s="1">
        <v>193.89</v>
      </c>
      <c r="G13" s="1" t="s">
        <v>75</v>
      </c>
      <c r="H13" s="1">
        <v>9</v>
      </c>
      <c r="I13" s="1">
        <v>1745.03</v>
      </c>
      <c r="J13" s="1" t="s">
        <v>18</v>
      </c>
      <c r="K13" s="1" t="s">
        <v>34</v>
      </c>
      <c r="L13" s="1" t="s">
        <v>41</v>
      </c>
      <c r="M13" s="1" t="s">
        <v>76</v>
      </c>
      <c r="N13" s="2" t="s">
        <v>1049</v>
      </c>
      <c r="O13" s="2" t="s">
        <v>1058</v>
      </c>
      <c r="P13" t="s">
        <v>1079</v>
      </c>
      <c r="Q13">
        <v>2025</v>
      </c>
    </row>
    <row r="14" spans="1:17" x14ac:dyDescent="0.25">
      <c r="A14" s="1" t="s">
        <v>77</v>
      </c>
      <c r="B14" s="3">
        <v>45855</v>
      </c>
      <c r="C14" s="1" t="s">
        <v>78</v>
      </c>
      <c r="D14" s="1" t="s">
        <v>55</v>
      </c>
      <c r="E14" s="1" t="s">
        <v>45</v>
      </c>
      <c r="F14" s="1">
        <v>30.46</v>
      </c>
      <c r="G14" s="1" t="s">
        <v>79</v>
      </c>
      <c r="H14" s="1">
        <v>79</v>
      </c>
      <c r="I14" s="1">
        <v>2406.34</v>
      </c>
      <c r="J14" s="1" t="s">
        <v>33</v>
      </c>
      <c r="K14" s="1" t="s">
        <v>19</v>
      </c>
      <c r="L14" s="1" t="s">
        <v>35</v>
      </c>
      <c r="M14" s="1" t="s">
        <v>52</v>
      </c>
      <c r="N14" s="2" t="s">
        <v>1052</v>
      </c>
      <c r="O14" s="2" t="s">
        <v>1047</v>
      </c>
      <c r="P14" t="s">
        <v>1079</v>
      </c>
      <c r="Q14">
        <v>2025</v>
      </c>
    </row>
    <row r="15" spans="1:17" x14ac:dyDescent="0.25">
      <c r="A15" s="1" t="s">
        <v>80</v>
      </c>
      <c r="B15" s="3">
        <v>45935</v>
      </c>
      <c r="C15" s="1" t="s">
        <v>81</v>
      </c>
      <c r="D15" s="1" t="s">
        <v>15</v>
      </c>
      <c r="E15" s="1" t="s">
        <v>16</v>
      </c>
      <c r="F15" s="1">
        <v>289.5</v>
      </c>
      <c r="G15" s="1" t="s">
        <v>82</v>
      </c>
      <c r="H15" s="1">
        <v>17</v>
      </c>
      <c r="I15" s="1">
        <v>4921.53</v>
      </c>
      <c r="J15" s="1" t="s">
        <v>63</v>
      </c>
      <c r="K15" s="1" t="s">
        <v>19</v>
      </c>
      <c r="L15" s="1" t="s">
        <v>35</v>
      </c>
      <c r="M15" s="1" t="s">
        <v>36</v>
      </c>
      <c r="N15" s="2" t="s">
        <v>1046</v>
      </c>
      <c r="O15" s="2" t="s">
        <v>1055</v>
      </c>
      <c r="P15" t="s">
        <v>1078</v>
      </c>
      <c r="Q15">
        <v>2025</v>
      </c>
    </row>
    <row r="16" spans="1:17" hidden="1" x14ac:dyDescent="0.25">
      <c r="A16" s="1" t="s">
        <v>83</v>
      </c>
      <c r="B16" s="3">
        <v>45586</v>
      </c>
      <c r="C16" s="1" t="s">
        <v>84</v>
      </c>
      <c r="D16" s="1" t="s">
        <v>39</v>
      </c>
      <c r="E16" s="1" t="s">
        <v>67</v>
      </c>
      <c r="F16" s="2">
        <v>2544.67</v>
      </c>
      <c r="G16" s="2" t="s">
        <v>72</v>
      </c>
      <c r="H16" s="2">
        <v>1</v>
      </c>
      <c r="I16" s="2">
        <v>2544.67</v>
      </c>
      <c r="J16" s="2" t="s">
        <v>18</v>
      </c>
      <c r="K16" s="2" t="s">
        <v>34</v>
      </c>
      <c r="L16" s="2" t="s">
        <v>47</v>
      </c>
      <c r="M16" s="2" t="s">
        <v>85</v>
      </c>
      <c r="N16" s="2" t="s">
        <v>1046</v>
      </c>
      <c r="O16" s="2" t="s">
        <v>1056</v>
      </c>
      <c r="P16" t="s">
        <v>1079</v>
      </c>
      <c r="Q16">
        <v>2024</v>
      </c>
    </row>
    <row r="17" spans="1:17" hidden="1" x14ac:dyDescent="0.25">
      <c r="A17" s="1" t="s">
        <v>86</v>
      </c>
      <c r="B17" s="3">
        <v>45518</v>
      </c>
      <c r="C17" s="1" t="s">
        <v>87</v>
      </c>
      <c r="D17" s="1" t="s">
        <v>31</v>
      </c>
      <c r="E17" s="1" t="s">
        <v>45</v>
      </c>
      <c r="F17" s="2">
        <v>1488.41</v>
      </c>
      <c r="G17" s="2" t="s">
        <v>46</v>
      </c>
      <c r="H17" s="2">
        <v>1</v>
      </c>
      <c r="I17" s="2">
        <v>1488.41</v>
      </c>
      <c r="J17" s="2" t="s">
        <v>18</v>
      </c>
      <c r="K17" s="2" t="s">
        <v>34</v>
      </c>
      <c r="L17" s="2" t="s">
        <v>20</v>
      </c>
      <c r="M17" s="2" t="s">
        <v>88</v>
      </c>
      <c r="N17" s="2" t="s">
        <v>1051</v>
      </c>
      <c r="O17" s="2" t="s">
        <v>1059</v>
      </c>
      <c r="P17" t="s">
        <v>1079</v>
      </c>
      <c r="Q17">
        <v>2024</v>
      </c>
    </row>
    <row r="18" spans="1:17" x14ac:dyDescent="0.25">
      <c r="A18" s="1" t="s">
        <v>89</v>
      </c>
      <c r="B18" s="3">
        <v>45669</v>
      </c>
      <c r="C18" s="1" t="s">
        <v>54</v>
      </c>
      <c r="D18" s="1" t="s">
        <v>55</v>
      </c>
      <c r="E18" s="1" t="s">
        <v>16</v>
      </c>
      <c r="F18" s="2">
        <v>88.52</v>
      </c>
      <c r="G18" s="2" t="s">
        <v>90</v>
      </c>
      <c r="H18" s="2">
        <v>9</v>
      </c>
      <c r="I18" s="2">
        <v>796.66</v>
      </c>
      <c r="J18" s="2" t="s">
        <v>18</v>
      </c>
      <c r="K18" s="2" t="s">
        <v>34</v>
      </c>
      <c r="L18" s="2" t="s">
        <v>20</v>
      </c>
      <c r="M18" s="2" t="s">
        <v>88</v>
      </c>
      <c r="N18" s="2" t="s">
        <v>1050</v>
      </c>
      <c r="O18" s="2" t="s">
        <v>1055</v>
      </c>
      <c r="P18" t="s">
        <v>1079</v>
      </c>
      <c r="Q18">
        <v>2025</v>
      </c>
    </row>
    <row r="19" spans="1:17" hidden="1" x14ac:dyDescent="0.25">
      <c r="A19" s="1" t="s">
        <v>91</v>
      </c>
      <c r="B19" s="3">
        <v>45351</v>
      </c>
      <c r="C19" s="1" t="s">
        <v>92</v>
      </c>
      <c r="D19" s="1" t="s">
        <v>39</v>
      </c>
      <c r="E19" s="1" t="s">
        <v>45</v>
      </c>
      <c r="F19" s="2">
        <v>246.55</v>
      </c>
      <c r="G19" s="2" t="s">
        <v>93</v>
      </c>
      <c r="H19" s="2">
        <v>11</v>
      </c>
      <c r="I19" s="2">
        <v>2712</v>
      </c>
      <c r="J19" s="2" t="s">
        <v>18</v>
      </c>
      <c r="K19" s="2" t="s">
        <v>19</v>
      </c>
      <c r="L19" s="2" t="s">
        <v>47</v>
      </c>
      <c r="M19" s="2" t="s">
        <v>48</v>
      </c>
      <c r="N19" s="2" t="s">
        <v>1060</v>
      </c>
      <c r="O19" s="2" t="s">
        <v>1047</v>
      </c>
      <c r="P19" t="s">
        <v>1079</v>
      </c>
      <c r="Q19">
        <v>2024</v>
      </c>
    </row>
    <row r="20" spans="1:17" hidden="1" x14ac:dyDescent="0.25">
      <c r="A20" s="1" t="s">
        <v>94</v>
      </c>
      <c r="B20" s="3">
        <v>45562</v>
      </c>
      <c r="C20" s="1" t="s">
        <v>95</v>
      </c>
      <c r="D20" s="1" t="s">
        <v>15</v>
      </c>
      <c r="E20" s="1" t="s">
        <v>16</v>
      </c>
      <c r="F20" s="2">
        <v>18.399999999999999</v>
      </c>
      <c r="G20" s="2" t="s">
        <v>51</v>
      </c>
      <c r="H20" s="2">
        <v>95</v>
      </c>
      <c r="I20" s="2">
        <v>1747.57</v>
      </c>
      <c r="J20" s="2" t="s">
        <v>18</v>
      </c>
      <c r="K20" s="2" t="s">
        <v>19</v>
      </c>
      <c r="L20" s="2" t="s">
        <v>35</v>
      </c>
      <c r="M20" s="2" t="s">
        <v>36</v>
      </c>
      <c r="N20" s="2" t="s">
        <v>1049</v>
      </c>
      <c r="O20" s="2" t="s">
        <v>1058</v>
      </c>
      <c r="P20" t="s">
        <v>1079</v>
      </c>
      <c r="Q20">
        <v>2024</v>
      </c>
    </row>
    <row r="21" spans="1:17" x14ac:dyDescent="0.25">
      <c r="A21" s="1" t="s">
        <v>96</v>
      </c>
      <c r="B21" s="3">
        <v>45676</v>
      </c>
      <c r="C21" s="1" t="s">
        <v>97</v>
      </c>
      <c r="D21" s="1" t="s">
        <v>31</v>
      </c>
      <c r="E21" s="1" t="s">
        <v>16</v>
      </c>
      <c r="F21" s="2">
        <v>134.05000000000001</v>
      </c>
      <c r="G21" s="2" t="s">
        <v>98</v>
      </c>
      <c r="H21" s="2">
        <v>14</v>
      </c>
      <c r="I21" s="2">
        <v>1876.65</v>
      </c>
      <c r="J21" s="2" t="s">
        <v>18</v>
      </c>
      <c r="K21" s="2" t="s">
        <v>19</v>
      </c>
      <c r="L21" s="2" t="s">
        <v>41</v>
      </c>
      <c r="M21" s="2" t="s">
        <v>76</v>
      </c>
      <c r="N21" s="2" t="s">
        <v>1050</v>
      </c>
      <c r="O21" s="2" t="s">
        <v>1055</v>
      </c>
      <c r="P21" t="s">
        <v>1079</v>
      </c>
      <c r="Q21">
        <v>2025</v>
      </c>
    </row>
    <row r="22" spans="1:17" x14ac:dyDescent="0.25">
      <c r="A22" s="1" t="s">
        <v>99</v>
      </c>
      <c r="B22" s="3">
        <v>45881</v>
      </c>
      <c r="C22" s="1" t="s">
        <v>100</v>
      </c>
      <c r="D22" s="1" t="s">
        <v>55</v>
      </c>
      <c r="E22" s="1" t="s">
        <v>67</v>
      </c>
      <c r="F22" s="2">
        <v>181.48</v>
      </c>
      <c r="G22" s="2" t="s">
        <v>79</v>
      </c>
      <c r="H22" s="2">
        <v>14</v>
      </c>
      <c r="I22" s="2">
        <v>2540.67</v>
      </c>
      <c r="J22" s="2" t="s">
        <v>18</v>
      </c>
      <c r="K22" s="2" t="s">
        <v>19</v>
      </c>
      <c r="L22" s="2" t="s">
        <v>27</v>
      </c>
      <c r="M22" s="2" t="s">
        <v>59</v>
      </c>
      <c r="N22" s="2" t="s">
        <v>1051</v>
      </c>
      <c r="O22" s="2" t="s">
        <v>1053</v>
      </c>
      <c r="P22" t="s">
        <v>1079</v>
      </c>
      <c r="Q22">
        <v>2025</v>
      </c>
    </row>
    <row r="23" spans="1:17" hidden="1" x14ac:dyDescent="0.25">
      <c r="A23" s="1" t="s">
        <v>101</v>
      </c>
      <c r="B23" s="3">
        <v>45627</v>
      </c>
      <c r="C23" s="1" t="s">
        <v>102</v>
      </c>
      <c r="D23" s="1" t="s">
        <v>39</v>
      </c>
      <c r="E23" s="1" t="s">
        <v>16</v>
      </c>
      <c r="F23" s="2">
        <v>576.48</v>
      </c>
      <c r="G23" s="2" t="s">
        <v>93</v>
      </c>
      <c r="H23" s="2">
        <v>8</v>
      </c>
      <c r="I23" s="2">
        <v>4611.84</v>
      </c>
      <c r="J23" s="2" t="s">
        <v>18</v>
      </c>
      <c r="K23" s="2" t="s">
        <v>19</v>
      </c>
      <c r="L23" s="2" t="s">
        <v>20</v>
      </c>
      <c r="M23" s="2" t="s">
        <v>21</v>
      </c>
      <c r="N23" s="2" t="s">
        <v>1061</v>
      </c>
      <c r="O23" s="2" t="s">
        <v>1055</v>
      </c>
      <c r="P23" t="s">
        <v>1078</v>
      </c>
      <c r="Q23">
        <v>2024</v>
      </c>
    </row>
    <row r="24" spans="1:17" x14ac:dyDescent="0.25">
      <c r="A24" s="1" t="s">
        <v>103</v>
      </c>
      <c r="B24" s="3">
        <v>45676</v>
      </c>
      <c r="C24" s="1" t="s">
        <v>104</v>
      </c>
      <c r="D24" s="1" t="s">
        <v>31</v>
      </c>
      <c r="E24" s="1" t="s">
        <v>25</v>
      </c>
      <c r="F24" s="2">
        <v>115.14</v>
      </c>
      <c r="G24" s="2" t="s">
        <v>46</v>
      </c>
      <c r="H24" s="2">
        <v>14</v>
      </c>
      <c r="I24" s="2">
        <v>1611.99</v>
      </c>
      <c r="J24" s="2" t="s">
        <v>18</v>
      </c>
      <c r="K24" s="2" t="s">
        <v>19</v>
      </c>
      <c r="L24" s="2" t="s">
        <v>41</v>
      </c>
      <c r="M24" s="2" t="s">
        <v>42</v>
      </c>
      <c r="N24" s="2" t="s">
        <v>1050</v>
      </c>
      <c r="O24" s="2" t="s">
        <v>1055</v>
      </c>
      <c r="P24" t="s">
        <v>1079</v>
      </c>
      <c r="Q24">
        <v>2025</v>
      </c>
    </row>
    <row r="25" spans="1:17" x14ac:dyDescent="0.25">
      <c r="A25" s="1" t="s">
        <v>105</v>
      </c>
      <c r="B25" s="3">
        <v>45705</v>
      </c>
      <c r="C25" s="1" t="s">
        <v>106</v>
      </c>
      <c r="D25" s="1" t="s">
        <v>31</v>
      </c>
      <c r="E25" s="1" t="s">
        <v>67</v>
      </c>
      <c r="F25" s="2">
        <v>2590</v>
      </c>
      <c r="G25" s="2" t="s">
        <v>98</v>
      </c>
      <c r="H25" s="2">
        <v>1</v>
      </c>
      <c r="I25" s="2">
        <v>2590</v>
      </c>
      <c r="J25" s="2" t="s">
        <v>18</v>
      </c>
      <c r="K25" s="2" t="s">
        <v>34</v>
      </c>
      <c r="L25" s="2" t="s">
        <v>41</v>
      </c>
      <c r="M25" s="2" t="s">
        <v>76</v>
      </c>
      <c r="N25" s="2" t="s">
        <v>1060</v>
      </c>
      <c r="O25" s="2" t="s">
        <v>1056</v>
      </c>
      <c r="P25" t="s">
        <v>1079</v>
      </c>
      <c r="Q25">
        <v>2025</v>
      </c>
    </row>
    <row r="26" spans="1:17" x14ac:dyDescent="0.25">
      <c r="A26" s="1" t="s">
        <v>107</v>
      </c>
      <c r="B26" s="3">
        <v>45818</v>
      </c>
      <c r="C26" s="1" t="s">
        <v>108</v>
      </c>
      <c r="D26" s="1" t="s">
        <v>31</v>
      </c>
      <c r="E26" s="1" t="s">
        <v>16</v>
      </c>
      <c r="F26" s="2">
        <v>78.77</v>
      </c>
      <c r="G26" s="2" t="s">
        <v>31</v>
      </c>
      <c r="H26" s="2">
        <v>10</v>
      </c>
      <c r="I26" s="2">
        <v>787.72</v>
      </c>
      <c r="J26" s="2" t="s">
        <v>33</v>
      </c>
      <c r="K26" s="2" t="s">
        <v>34</v>
      </c>
      <c r="L26" s="2" t="s">
        <v>47</v>
      </c>
      <c r="M26" s="2" t="s">
        <v>48</v>
      </c>
      <c r="N26" s="2" t="s">
        <v>1062</v>
      </c>
      <c r="O26" s="2" t="s">
        <v>1053</v>
      </c>
      <c r="P26" t="s">
        <v>1079</v>
      </c>
      <c r="Q26">
        <v>2025</v>
      </c>
    </row>
    <row r="27" spans="1:17" hidden="1" x14ac:dyDescent="0.25">
      <c r="A27" s="1" t="s">
        <v>109</v>
      </c>
      <c r="B27" s="3">
        <v>45432</v>
      </c>
      <c r="C27" s="1" t="s">
        <v>110</v>
      </c>
      <c r="D27" s="1" t="s">
        <v>15</v>
      </c>
      <c r="E27" s="1" t="s">
        <v>45</v>
      </c>
      <c r="F27" s="2">
        <v>188.82</v>
      </c>
      <c r="G27" s="2" t="s">
        <v>51</v>
      </c>
      <c r="H27" s="2">
        <v>7</v>
      </c>
      <c r="I27" s="2">
        <v>1321.77</v>
      </c>
      <c r="J27" s="2" t="s">
        <v>18</v>
      </c>
      <c r="K27" s="2" t="s">
        <v>34</v>
      </c>
      <c r="L27" s="2" t="s">
        <v>27</v>
      </c>
      <c r="M27" s="2" t="s">
        <v>59</v>
      </c>
      <c r="N27" s="2" t="s">
        <v>1057</v>
      </c>
      <c r="O27" s="2" t="s">
        <v>1056</v>
      </c>
      <c r="P27" t="s">
        <v>1079</v>
      </c>
      <c r="Q27">
        <v>2024</v>
      </c>
    </row>
    <row r="28" spans="1:17" x14ac:dyDescent="0.25">
      <c r="A28" s="1" t="s">
        <v>111</v>
      </c>
      <c r="B28" s="3">
        <v>45776</v>
      </c>
      <c r="C28" s="1" t="s">
        <v>112</v>
      </c>
      <c r="D28" s="1" t="s">
        <v>15</v>
      </c>
      <c r="E28" s="1" t="s">
        <v>25</v>
      </c>
      <c r="F28" s="2">
        <v>255.5</v>
      </c>
      <c r="G28" s="2" t="s">
        <v>62</v>
      </c>
      <c r="H28" s="2">
        <v>11</v>
      </c>
      <c r="I28" s="2">
        <v>2810.47</v>
      </c>
      <c r="J28" s="2" t="s">
        <v>33</v>
      </c>
      <c r="K28" s="2" t="s">
        <v>19</v>
      </c>
      <c r="L28" s="2" t="s">
        <v>35</v>
      </c>
      <c r="M28" s="2" t="s">
        <v>52</v>
      </c>
      <c r="N28" s="2" t="s">
        <v>1048</v>
      </c>
      <c r="O28" s="2" t="s">
        <v>1053</v>
      </c>
      <c r="P28" t="s">
        <v>1079</v>
      </c>
      <c r="Q28">
        <v>2025</v>
      </c>
    </row>
    <row r="29" spans="1:17" hidden="1" x14ac:dyDescent="0.25">
      <c r="A29" s="1" t="s">
        <v>113</v>
      </c>
      <c r="B29" s="3">
        <v>45395</v>
      </c>
      <c r="C29" s="1" t="s">
        <v>114</v>
      </c>
      <c r="D29" s="1" t="s">
        <v>15</v>
      </c>
      <c r="E29" s="1" t="s">
        <v>45</v>
      </c>
      <c r="F29" s="2">
        <v>444.64</v>
      </c>
      <c r="G29" s="2" t="s">
        <v>62</v>
      </c>
      <c r="H29" s="2">
        <v>6</v>
      </c>
      <c r="I29" s="2">
        <v>2667.84</v>
      </c>
      <c r="J29" s="2" t="s">
        <v>18</v>
      </c>
      <c r="K29" s="2" t="s">
        <v>34</v>
      </c>
      <c r="L29" s="2" t="s">
        <v>35</v>
      </c>
      <c r="M29" s="2" t="s">
        <v>52</v>
      </c>
      <c r="N29" s="2" t="s">
        <v>1048</v>
      </c>
      <c r="O29" s="2" t="s">
        <v>1063</v>
      </c>
      <c r="P29" t="s">
        <v>1079</v>
      </c>
      <c r="Q29">
        <v>2024</v>
      </c>
    </row>
    <row r="30" spans="1:17" hidden="1" x14ac:dyDescent="0.25">
      <c r="A30" s="1" t="s">
        <v>115</v>
      </c>
      <c r="B30" s="3">
        <v>45622</v>
      </c>
      <c r="C30" s="1" t="s">
        <v>116</v>
      </c>
      <c r="D30" s="1" t="s">
        <v>15</v>
      </c>
      <c r="E30" s="1" t="s">
        <v>45</v>
      </c>
      <c r="F30" s="2">
        <v>124</v>
      </c>
      <c r="G30" s="2" t="s">
        <v>62</v>
      </c>
      <c r="H30" s="2">
        <v>11</v>
      </c>
      <c r="I30" s="2">
        <v>1363.95</v>
      </c>
      <c r="J30" s="2" t="s">
        <v>18</v>
      </c>
      <c r="K30" s="2" t="s">
        <v>19</v>
      </c>
      <c r="L30" s="2" t="s">
        <v>41</v>
      </c>
      <c r="M30" s="2" t="s">
        <v>42</v>
      </c>
      <c r="N30" s="2" t="s">
        <v>1064</v>
      </c>
      <c r="O30" s="2" t="s">
        <v>1053</v>
      </c>
      <c r="P30" t="s">
        <v>1079</v>
      </c>
      <c r="Q30">
        <v>2024</v>
      </c>
    </row>
    <row r="31" spans="1:17" hidden="1" x14ac:dyDescent="0.25">
      <c r="A31" s="1" t="s">
        <v>117</v>
      </c>
      <c r="B31" s="3">
        <v>45452</v>
      </c>
      <c r="C31" s="1" t="s">
        <v>118</v>
      </c>
      <c r="D31" s="1" t="s">
        <v>31</v>
      </c>
      <c r="E31" s="1" t="s">
        <v>45</v>
      </c>
      <c r="F31" s="2">
        <v>113.69</v>
      </c>
      <c r="G31" s="2" t="s">
        <v>32</v>
      </c>
      <c r="H31" s="2">
        <v>15</v>
      </c>
      <c r="I31" s="2">
        <v>1705.38</v>
      </c>
      <c r="J31" s="2" t="s">
        <v>18</v>
      </c>
      <c r="K31" s="2" t="s">
        <v>19</v>
      </c>
      <c r="L31" s="2" t="s">
        <v>41</v>
      </c>
      <c r="M31" s="2" t="s">
        <v>42</v>
      </c>
      <c r="N31" s="2" t="s">
        <v>1062</v>
      </c>
      <c r="O31" s="2" t="s">
        <v>1055</v>
      </c>
      <c r="P31" t="s">
        <v>1079</v>
      </c>
      <c r="Q31">
        <v>2024</v>
      </c>
    </row>
    <row r="32" spans="1:17" x14ac:dyDescent="0.25">
      <c r="A32" s="1" t="s">
        <v>119</v>
      </c>
      <c r="B32" s="3">
        <v>45793</v>
      </c>
      <c r="C32" s="1" t="s">
        <v>95</v>
      </c>
      <c r="D32" s="1" t="s">
        <v>55</v>
      </c>
      <c r="E32" s="1" t="s">
        <v>71</v>
      </c>
      <c r="F32" s="2">
        <v>131.13999999999999</v>
      </c>
      <c r="G32" s="2" t="s">
        <v>90</v>
      </c>
      <c r="H32" s="2">
        <v>16</v>
      </c>
      <c r="I32" s="2">
        <v>2098.31</v>
      </c>
      <c r="J32" s="2" t="s">
        <v>18</v>
      </c>
      <c r="K32" s="2" t="s">
        <v>19</v>
      </c>
      <c r="L32" s="2" t="s">
        <v>47</v>
      </c>
      <c r="M32" s="2" t="s">
        <v>85</v>
      </c>
      <c r="N32" s="2" t="s">
        <v>1057</v>
      </c>
      <c r="O32" s="2" t="s">
        <v>1058</v>
      </c>
      <c r="P32" t="s">
        <v>1079</v>
      </c>
      <c r="Q32">
        <v>2025</v>
      </c>
    </row>
    <row r="33" spans="1:17" hidden="1" x14ac:dyDescent="0.25">
      <c r="A33" s="1" t="s">
        <v>120</v>
      </c>
      <c r="B33" s="3">
        <v>45371</v>
      </c>
      <c r="C33" s="1" t="s">
        <v>121</v>
      </c>
      <c r="D33" s="1" t="s">
        <v>15</v>
      </c>
      <c r="E33" s="1" t="s">
        <v>45</v>
      </c>
      <c r="F33" s="2">
        <v>261.5</v>
      </c>
      <c r="G33" s="2" t="s">
        <v>82</v>
      </c>
      <c r="H33" s="2">
        <v>6</v>
      </c>
      <c r="I33" s="2">
        <v>1569</v>
      </c>
      <c r="J33" s="2" t="s">
        <v>18</v>
      </c>
      <c r="K33" s="2" t="s">
        <v>34</v>
      </c>
      <c r="L33" s="2" t="s">
        <v>47</v>
      </c>
      <c r="M33" s="2" t="s">
        <v>48</v>
      </c>
      <c r="N33" s="2" t="s">
        <v>1054</v>
      </c>
      <c r="O33" s="2" t="s">
        <v>1059</v>
      </c>
      <c r="P33" t="s">
        <v>1079</v>
      </c>
      <c r="Q33">
        <v>2024</v>
      </c>
    </row>
    <row r="34" spans="1:17" x14ac:dyDescent="0.25">
      <c r="A34" s="1" t="s">
        <v>122</v>
      </c>
      <c r="B34" s="3">
        <v>45920</v>
      </c>
      <c r="C34" s="1" t="s">
        <v>123</v>
      </c>
      <c r="D34" s="1" t="s">
        <v>15</v>
      </c>
      <c r="E34" s="1" t="s">
        <v>25</v>
      </c>
      <c r="F34" s="2">
        <v>111.92</v>
      </c>
      <c r="G34" s="2" t="s">
        <v>62</v>
      </c>
      <c r="H34" s="2">
        <v>12</v>
      </c>
      <c r="I34" s="2">
        <v>1343.05</v>
      </c>
      <c r="J34" s="2" t="s">
        <v>63</v>
      </c>
      <c r="K34" s="2" t="s">
        <v>19</v>
      </c>
      <c r="L34" s="2" t="s">
        <v>41</v>
      </c>
      <c r="M34" s="2" t="s">
        <v>76</v>
      </c>
      <c r="N34" s="2" t="s">
        <v>1049</v>
      </c>
      <c r="O34" s="2" t="s">
        <v>1063</v>
      </c>
      <c r="P34" t="s">
        <v>1079</v>
      </c>
      <c r="Q34">
        <v>2025</v>
      </c>
    </row>
    <row r="35" spans="1:17" hidden="1" x14ac:dyDescent="0.25">
      <c r="A35" s="1" t="s">
        <v>124</v>
      </c>
      <c r="B35" s="3">
        <v>45334</v>
      </c>
      <c r="C35" s="1" t="s">
        <v>125</v>
      </c>
      <c r="D35" s="1" t="s">
        <v>24</v>
      </c>
      <c r="E35" s="1" t="s">
        <v>45</v>
      </c>
      <c r="F35" s="2">
        <v>31.74</v>
      </c>
      <c r="G35" s="2" t="s">
        <v>68</v>
      </c>
      <c r="H35" s="2">
        <v>77</v>
      </c>
      <c r="I35" s="2">
        <v>2444.0700000000002</v>
      </c>
      <c r="J35" s="2" t="s">
        <v>18</v>
      </c>
      <c r="K35" s="2" t="s">
        <v>19</v>
      </c>
      <c r="L35" s="2" t="s">
        <v>35</v>
      </c>
      <c r="M35" s="2" t="s">
        <v>126</v>
      </c>
      <c r="N35" s="2" t="s">
        <v>1060</v>
      </c>
      <c r="O35" s="2" t="s">
        <v>1056</v>
      </c>
      <c r="P35" t="s">
        <v>1079</v>
      </c>
      <c r="Q35">
        <v>2024</v>
      </c>
    </row>
    <row r="36" spans="1:17" hidden="1" x14ac:dyDescent="0.25">
      <c r="A36" s="1" t="s">
        <v>127</v>
      </c>
      <c r="B36" s="3">
        <v>45508</v>
      </c>
      <c r="C36" s="1" t="s">
        <v>128</v>
      </c>
      <c r="D36" s="1" t="s">
        <v>31</v>
      </c>
      <c r="E36" s="1" t="s">
        <v>67</v>
      </c>
      <c r="F36" s="2">
        <v>2895.04</v>
      </c>
      <c r="G36" s="2" t="s">
        <v>32</v>
      </c>
      <c r="H36" s="2">
        <v>1</v>
      </c>
      <c r="I36" s="2">
        <v>2895.04</v>
      </c>
      <c r="J36" s="2" t="s">
        <v>18</v>
      </c>
      <c r="K36" s="2" t="s">
        <v>34</v>
      </c>
      <c r="L36" s="2" t="s">
        <v>20</v>
      </c>
      <c r="M36" s="2" t="s">
        <v>64</v>
      </c>
      <c r="N36" s="2" t="s">
        <v>1051</v>
      </c>
      <c r="O36" s="2" t="s">
        <v>1055</v>
      </c>
      <c r="P36" t="s">
        <v>1079</v>
      </c>
      <c r="Q36">
        <v>2024</v>
      </c>
    </row>
    <row r="37" spans="1:17" x14ac:dyDescent="0.25">
      <c r="A37" s="1" t="s">
        <v>129</v>
      </c>
      <c r="B37" s="3">
        <v>45794</v>
      </c>
      <c r="C37" s="1" t="s">
        <v>110</v>
      </c>
      <c r="D37" s="1" t="s">
        <v>15</v>
      </c>
      <c r="E37" s="1" t="s">
        <v>45</v>
      </c>
      <c r="F37" s="2">
        <v>184.92</v>
      </c>
      <c r="G37" s="2" t="s">
        <v>51</v>
      </c>
      <c r="H37" s="2">
        <v>9</v>
      </c>
      <c r="I37" s="2">
        <v>1664.31</v>
      </c>
      <c r="J37" s="2" t="s">
        <v>63</v>
      </c>
      <c r="K37" s="2" t="s">
        <v>34</v>
      </c>
      <c r="L37" s="2" t="s">
        <v>41</v>
      </c>
      <c r="M37" s="2" t="s">
        <v>42</v>
      </c>
      <c r="N37" s="2" t="s">
        <v>1057</v>
      </c>
      <c r="O37" s="2" t="s">
        <v>1063</v>
      </c>
      <c r="P37" t="s">
        <v>1079</v>
      </c>
      <c r="Q37">
        <v>2025</v>
      </c>
    </row>
    <row r="38" spans="1:17" x14ac:dyDescent="0.25">
      <c r="A38" s="1" t="s">
        <v>130</v>
      </c>
      <c r="B38" s="3">
        <v>45716</v>
      </c>
      <c r="C38" s="1" t="s">
        <v>104</v>
      </c>
      <c r="D38" s="1" t="s">
        <v>55</v>
      </c>
      <c r="E38" s="1" t="s">
        <v>16</v>
      </c>
      <c r="F38" s="2">
        <v>114.33</v>
      </c>
      <c r="G38" s="2" t="s">
        <v>79</v>
      </c>
      <c r="H38" s="2">
        <v>10</v>
      </c>
      <c r="I38" s="2">
        <v>1143.33</v>
      </c>
      <c r="J38" s="2" t="s">
        <v>18</v>
      </c>
      <c r="K38" s="2" t="s">
        <v>34</v>
      </c>
      <c r="L38" s="2" t="s">
        <v>35</v>
      </c>
      <c r="M38" s="2" t="s">
        <v>52</v>
      </c>
      <c r="N38" s="2" t="s">
        <v>1060</v>
      </c>
      <c r="O38" s="2" t="s">
        <v>1058</v>
      </c>
      <c r="P38" t="s">
        <v>1079</v>
      </c>
      <c r="Q38">
        <v>2025</v>
      </c>
    </row>
    <row r="39" spans="1:17" hidden="1" x14ac:dyDescent="0.25">
      <c r="A39" s="1" t="s">
        <v>131</v>
      </c>
      <c r="B39" s="3">
        <v>45512</v>
      </c>
      <c r="C39" s="1" t="s">
        <v>95</v>
      </c>
      <c r="D39" s="1" t="s">
        <v>31</v>
      </c>
      <c r="E39" s="1" t="s">
        <v>25</v>
      </c>
      <c r="F39" s="2">
        <v>319.85000000000002</v>
      </c>
      <c r="G39" s="2" t="s">
        <v>32</v>
      </c>
      <c r="H39" s="2">
        <v>9</v>
      </c>
      <c r="I39" s="2">
        <v>2878.63</v>
      </c>
      <c r="J39" s="2" t="s">
        <v>18</v>
      </c>
      <c r="K39" s="2" t="s">
        <v>34</v>
      </c>
      <c r="L39" s="2" t="s">
        <v>35</v>
      </c>
      <c r="M39" s="2" t="s">
        <v>126</v>
      </c>
      <c r="N39" s="2" t="s">
        <v>1051</v>
      </c>
      <c r="O39" s="2" t="s">
        <v>1047</v>
      </c>
      <c r="P39" t="s">
        <v>1079</v>
      </c>
      <c r="Q39">
        <v>2024</v>
      </c>
    </row>
    <row r="40" spans="1:17" hidden="1" x14ac:dyDescent="0.25">
      <c r="A40" s="1" t="s">
        <v>132</v>
      </c>
      <c r="B40" s="3">
        <v>45451</v>
      </c>
      <c r="C40" s="1" t="s">
        <v>133</v>
      </c>
      <c r="D40" s="1" t="s">
        <v>31</v>
      </c>
      <c r="E40" s="1" t="s">
        <v>67</v>
      </c>
      <c r="F40" s="2">
        <v>221.69</v>
      </c>
      <c r="G40" s="2" t="s">
        <v>98</v>
      </c>
      <c r="H40" s="2">
        <v>12</v>
      </c>
      <c r="I40" s="2">
        <v>2660.2799999999997</v>
      </c>
      <c r="J40" s="2" t="s">
        <v>33</v>
      </c>
      <c r="K40" s="2" t="s">
        <v>19</v>
      </c>
      <c r="L40" s="2" t="s">
        <v>20</v>
      </c>
      <c r="M40" s="2" t="s">
        <v>21</v>
      </c>
      <c r="N40" s="2" t="s">
        <v>1062</v>
      </c>
      <c r="O40" s="2" t="s">
        <v>1063</v>
      </c>
      <c r="P40" t="s">
        <v>1079</v>
      </c>
      <c r="Q40">
        <v>2024</v>
      </c>
    </row>
    <row r="41" spans="1:17" x14ac:dyDescent="0.25">
      <c r="A41" s="1" t="s">
        <v>134</v>
      </c>
      <c r="B41" s="3">
        <v>45834</v>
      </c>
      <c r="C41" s="1" t="s">
        <v>135</v>
      </c>
      <c r="D41" s="1" t="s">
        <v>39</v>
      </c>
      <c r="E41" s="1" t="s">
        <v>16</v>
      </c>
      <c r="F41" s="2">
        <v>108.29</v>
      </c>
      <c r="G41" s="2" t="s">
        <v>136</v>
      </c>
      <c r="H41" s="2">
        <v>16</v>
      </c>
      <c r="I41" s="2">
        <v>1732.58</v>
      </c>
      <c r="J41" s="2" t="s">
        <v>18</v>
      </c>
      <c r="K41" s="2" t="s">
        <v>19</v>
      </c>
      <c r="L41" s="2" t="s">
        <v>20</v>
      </c>
      <c r="M41" s="2" t="s">
        <v>21</v>
      </c>
      <c r="N41" s="2" t="s">
        <v>1062</v>
      </c>
      <c r="O41" s="2" t="s">
        <v>1047</v>
      </c>
      <c r="P41" t="s">
        <v>1079</v>
      </c>
      <c r="Q41">
        <v>2025</v>
      </c>
    </row>
    <row r="42" spans="1:17" x14ac:dyDescent="0.25">
      <c r="A42" s="1" t="s">
        <v>137</v>
      </c>
      <c r="B42" s="3">
        <v>45726</v>
      </c>
      <c r="C42" s="1" t="s">
        <v>95</v>
      </c>
      <c r="D42" s="1" t="s">
        <v>55</v>
      </c>
      <c r="E42" s="1" t="s">
        <v>67</v>
      </c>
      <c r="F42" s="2">
        <v>284.52</v>
      </c>
      <c r="G42" s="2" t="s">
        <v>79</v>
      </c>
      <c r="H42" s="2">
        <v>15</v>
      </c>
      <c r="I42" s="2">
        <v>4267.8100000000004</v>
      </c>
      <c r="J42" s="2" t="s">
        <v>33</v>
      </c>
      <c r="K42" s="2" t="s">
        <v>19</v>
      </c>
      <c r="L42" s="2" t="s">
        <v>41</v>
      </c>
      <c r="M42" s="2" t="s">
        <v>42</v>
      </c>
      <c r="N42" s="2" t="s">
        <v>1054</v>
      </c>
      <c r="O42" s="2" t="s">
        <v>1056</v>
      </c>
      <c r="P42" t="s">
        <v>1078</v>
      </c>
      <c r="Q42">
        <v>2025</v>
      </c>
    </row>
    <row r="43" spans="1:17" x14ac:dyDescent="0.25">
      <c r="A43" s="1" t="s">
        <v>138</v>
      </c>
      <c r="B43" s="3">
        <v>45760</v>
      </c>
      <c r="C43" s="1" t="s">
        <v>139</v>
      </c>
      <c r="D43" s="1" t="s">
        <v>15</v>
      </c>
      <c r="E43" s="1" t="s">
        <v>67</v>
      </c>
      <c r="F43" s="2">
        <v>88.22</v>
      </c>
      <c r="G43" s="2" t="s">
        <v>62</v>
      </c>
      <c r="H43" s="2">
        <v>18</v>
      </c>
      <c r="I43" s="2">
        <v>1588</v>
      </c>
      <c r="J43" s="2" t="s">
        <v>63</v>
      </c>
      <c r="K43" s="2" t="s">
        <v>19</v>
      </c>
      <c r="L43" s="2" t="s">
        <v>20</v>
      </c>
      <c r="M43" s="2" t="s">
        <v>21</v>
      </c>
      <c r="N43" s="2" t="s">
        <v>1048</v>
      </c>
      <c r="O43" s="2" t="s">
        <v>1055</v>
      </c>
      <c r="P43" t="s">
        <v>1079</v>
      </c>
      <c r="Q43">
        <v>2025</v>
      </c>
    </row>
    <row r="44" spans="1:17" x14ac:dyDescent="0.25">
      <c r="A44" s="1" t="s">
        <v>140</v>
      </c>
      <c r="B44" s="3">
        <v>45703</v>
      </c>
      <c r="C44" s="1" t="s">
        <v>104</v>
      </c>
      <c r="D44" s="1" t="s">
        <v>31</v>
      </c>
      <c r="E44" s="1" t="s">
        <v>16</v>
      </c>
      <c r="F44" s="2">
        <v>214.33</v>
      </c>
      <c r="G44" s="2" t="s">
        <v>46</v>
      </c>
      <c r="H44" s="2">
        <v>9</v>
      </c>
      <c r="I44" s="2">
        <v>1929</v>
      </c>
      <c r="J44" s="2" t="s">
        <v>18</v>
      </c>
      <c r="K44" s="2" t="s">
        <v>34</v>
      </c>
      <c r="L44" s="2" t="s">
        <v>41</v>
      </c>
      <c r="M44" s="2" t="s">
        <v>141</v>
      </c>
      <c r="N44" s="2" t="s">
        <v>1060</v>
      </c>
      <c r="O44" s="2" t="s">
        <v>1063</v>
      </c>
      <c r="P44" t="s">
        <v>1079</v>
      </c>
      <c r="Q44">
        <v>2025</v>
      </c>
    </row>
    <row r="45" spans="1:17" x14ac:dyDescent="0.25">
      <c r="A45" s="1" t="s">
        <v>142</v>
      </c>
      <c r="B45" s="3">
        <v>45702</v>
      </c>
      <c r="C45" s="1" t="s">
        <v>143</v>
      </c>
      <c r="D45" s="1" t="s">
        <v>31</v>
      </c>
      <c r="E45" s="1" t="s">
        <v>25</v>
      </c>
      <c r="F45" s="2">
        <v>276.85000000000002</v>
      </c>
      <c r="G45" s="2" t="s">
        <v>98</v>
      </c>
      <c r="H45" s="2">
        <v>5</v>
      </c>
      <c r="I45" s="2">
        <v>1384.27</v>
      </c>
      <c r="J45" s="2" t="s">
        <v>18</v>
      </c>
      <c r="K45" s="2" t="s">
        <v>34</v>
      </c>
      <c r="L45" s="2" t="s">
        <v>47</v>
      </c>
      <c r="M45" s="2" t="s">
        <v>48</v>
      </c>
      <c r="N45" s="2" t="s">
        <v>1060</v>
      </c>
      <c r="O45" s="2" t="s">
        <v>1058</v>
      </c>
      <c r="P45" t="s">
        <v>1079</v>
      </c>
      <c r="Q45">
        <v>2025</v>
      </c>
    </row>
    <row r="46" spans="1:17" hidden="1" x14ac:dyDescent="0.25">
      <c r="A46" s="1" t="s">
        <v>144</v>
      </c>
      <c r="B46" s="3">
        <v>45475</v>
      </c>
      <c r="C46" s="1" t="s">
        <v>145</v>
      </c>
      <c r="D46" s="1" t="s">
        <v>15</v>
      </c>
      <c r="E46" s="1" t="s">
        <v>67</v>
      </c>
      <c r="F46" s="2">
        <v>329.88</v>
      </c>
      <c r="G46" s="2" t="s">
        <v>51</v>
      </c>
      <c r="H46" s="2">
        <v>8</v>
      </c>
      <c r="I46" s="2">
        <v>2639.03</v>
      </c>
      <c r="J46" s="2" t="s">
        <v>18</v>
      </c>
      <c r="K46" s="2" t="s">
        <v>34</v>
      </c>
      <c r="L46" s="2" t="s">
        <v>47</v>
      </c>
      <c r="M46" s="2" t="s">
        <v>85</v>
      </c>
      <c r="N46" s="2" t="s">
        <v>1052</v>
      </c>
      <c r="O46" s="2" t="s">
        <v>1053</v>
      </c>
      <c r="P46" t="s">
        <v>1079</v>
      </c>
      <c r="Q46">
        <v>2024</v>
      </c>
    </row>
    <row r="47" spans="1:17" hidden="1" x14ac:dyDescent="0.25">
      <c r="A47" s="1" t="s">
        <v>146</v>
      </c>
      <c r="B47" s="3">
        <v>45388</v>
      </c>
      <c r="C47" s="1" t="s">
        <v>147</v>
      </c>
      <c r="D47" s="1" t="s">
        <v>55</v>
      </c>
      <c r="E47" s="1" t="s">
        <v>67</v>
      </c>
      <c r="F47" s="2">
        <v>55.78</v>
      </c>
      <c r="G47" s="2" t="s">
        <v>148</v>
      </c>
      <c r="H47" s="2">
        <v>16</v>
      </c>
      <c r="I47" s="2">
        <v>892.47</v>
      </c>
      <c r="J47" s="2" t="s">
        <v>33</v>
      </c>
      <c r="K47" s="2" t="s">
        <v>19</v>
      </c>
      <c r="L47" s="2" t="s">
        <v>47</v>
      </c>
      <c r="M47" s="2" t="s">
        <v>85</v>
      </c>
      <c r="N47" s="2" t="s">
        <v>1048</v>
      </c>
      <c r="O47" s="2" t="s">
        <v>1063</v>
      </c>
      <c r="P47" t="s">
        <v>1079</v>
      </c>
      <c r="Q47">
        <v>2024</v>
      </c>
    </row>
    <row r="48" spans="1:17" x14ac:dyDescent="0.25">
      <c r="A48" s="1" t="s">
        <v>149</v>
      </c>
      <c r="B48" s="3">
        <v>45862</v>
      </c>
      <c r="C48" s="1" t="s">
        <v>150</v>
      </c>
      <c r="D48" s="1" t="s">
        <v>55</v>
      </c>
      <c r="E48" s="1" t="s">
        <v>67</v>
      </c>
      <c r="F48" s="2">
        <v>28.02</v>
      </c>
      <c r="G48" s="2" t="s">
        <v>79</v>
      </c>
      <c r="H48" s="2">
        <v>14</v>
      </c>
      <c r="I48" s="2">
        <v>392.27</v>
      </c>
      <c r="J48" s="2" t="s">
        <v>18</v>
      </c>
      <c r="K48" s="2" t="s">
        <v>19</v>
      </c>
      <c r="L48" s="2" t="s">
        <v>41</v>
      </c>
      <c r="M48" s="2" t="s">
        <v>141</v>
      </c>
      <c r="N48" s="2" t="s">
        <v>1052</v>
      </c>
      <c r="O48" s="2" t="s">
        <v>1047</v>
      </c>
      <c r="P48" t="s">
        <v>1079</v>
      </c>
      <c r="Q48">
        <v>2025</v>
      </c>
    </row>
    <row r="49" spans="1:17" hidden="1" x14ac:dyDescent="0.25">
      <c r="A49" s="1" t="s">
        <v>151</v>
      </c>
      <c r="B49" s="3">
        <v>45371</v>
      </c>
      <c r="C49" s="1" t="s">
        <v>152</v>
      </c>
      <c r="D49" s="1" t="s">
        <v>24</v>
      </c>
      <c r="E49" s="1" t="s">
        <v>71</v>
      </c>
      <c r="F49" s="2">
        <v>186.31</v>
      </c>
      <c r="G49" s="2" t="s">
        <v>75</v>
      </c>
      <c r="H49" s="2">
        <v>13</v>
      </c>
      <c r="I49" s="2">
        <v>2422</v>
      </c>
      <c r="J49" s="2" t="s">
        <v>63</v>
      </c>
      <c r="K49" s="2" t="s">
        <v>19</v>
      </c>
      <c r="L49" s="2" t="s">
        <v>47</v>
      </c>
      <c r="M49" s="2" t="s">
        <v>153</v>
      </c>
      <c r="N49" s="2" t="s">
        <v>1054</v>
      </c>
      <c r="O49" s="2" t="s">
        <v>1059</v>
      </c>
      <c r="P49" t="s">
        <v>1079</v>
      </c>
      <c r="Q49">
        <v>2024</v>
      </c>
    </row>
    <row r="50" spans="1:17" x14ac:dyDescent="0.25">
      <c r="A50" s="1" t="s">
        <v>154</v>
      </c>
      <c r="B50" s="3">
        <v>45741</v>
      </c>
      <c r="C50" s="1" t="s">
        <v>58</v>
      </c>
      <c r="D50" s="1" t="s">
        <v>31</v>
      </c>
      <c r="E50" s="1" t="s">
        <v>71</v>
      </c>
      <c r="F50" s="2">
        <v>189.6</v>
      </c>
      <c r="G50" s="2" t="s">
        <v>31</v>
      </c>
      <c r="H50" s="2">
        <v>8</v>
      </c>
      <c r="I50" s="2">
        <v>1516.79</v>
      </c>
      <c r="J50" s="2" t="s">
        <v>18</v>
      </c>
      <c r="K50" s="2" t="s">
        <v>34</v>
      </c>
      <c r="L50" s="2" t="s">
        <v>20</v>
      </c>
      <c r="M50" s="2" t="s">
        <v>21</v>
      </c>
      <c r="N50" s="2" t="s">
        <v>1054</v>
      </c>
      <c r="O50" s="2" t="s">
        <v>1053</v>
      </c>
      <c r="P50" t="s">
        <v>1079</v>
      </c>
      <c r="Q50">
        <v>2025</v>
      </c>
    </row>
    <row r="51" spans="1:17" hidden="1" x14ac:dyDescent="0.25">
      <c r="A51" s="1" t="s">
        <v>155</v>
      </c>
      <c r="B51" s="3">
        <v>45323</v>
      </c>
      <c r="C51" s="1" t="s">
        <v>156</v>
      </c>
      <c r="D51" s="1" t="s">
        <v>39</v>
      </c>
      <c r="E51" s="1" t="s">
        <v>71</v>
      </c>
      <c r="F51" s="2">
        <v>266.33</v>
      </c>
      <c r="G51" s="2" t="s">
        <v>93</v>
      </c>
      <c r="H51" s="2">
        <v>7</v>
      </c>
      <c r="I51" s="2">
        <v>1864.32</v>
      </c>
      <c r="J51" s="2" t="s">
        <v>18</v>
      </c>
      <c r="K51" s="2" t="s">
        <v>34</v>
      </c>
      <c r="L51" s="2" t="s">
        <v>47</v>
      </c>
      <c r="M51" s="2" t="s">
        <v>48</v>
      </c>
      <c r="N51" s="2" t="s">
        <v>1060</v>
      </c>
      <c r="O51" s="2" t="s">
        <v>1047</v>
      </c>
      <c r="P51" t="s">
        <v>1079</v>
      </c>
      <c r="Q51">
        <v>2024</v>
      </c>
    </row>
    <row r="52" spans="1:17" x14ac:dyDescent="0.25">
      <c r="A52" s="1" t="s">
        <v>157</v>
      </c>
      <c r="B52" s="3">
        <v>45765</v>
      </c>
      <c r="C52" s="1" t="s">
        <v>158</v>
      </c>
      <c r="D52" s="1" t="s">
        <v>39</v>
      </c>
      <c r="E52" s="1" t="s">
        <v>16</v>
      </c>
      <c r="F52" s="2">
        <v>11.95</v>
      </c>
      <c r="G52" s="2" t="s">
        <v>40</v>
      </c>
      <c r="H52" s="2">
        <v>107</v>
      </c>
      <c r="I52" s="2">
        <v>1278.43</v>
      </c>
      <c r="J52" s="2" t="s">
        <v>18</v>
      </c>
      <c r="K52" s="2" t="s">
        <v>19</v>
      </c>
      <c r="L52" s="2" t="s">
        <v>41</v>
      </c>
      <c r="M52" s="2" t="s">
        <v>42</v>
      </c>
      <c r="N52" s="2" t="s">
        <v>1048</v>
      </c>
      <c r="O52" s="2" t="s">
        <v>1058</v>
      </c>
      <c r="P52" t="s">
        <v>1079</v>
      </c>
      <c r="Q52">
        <v>2025</v>
      </c>
    </row>
    <row r="53" spans="1:17" x14ac:dyDescent="0.25">
      <c r="A53" s="1" t="s">
        <v>159</v>
      </c>
      <c r="B53" s="3">
        <v>45899</v>
      </c>
      <c r="C53" s="1" t="s">
        <v>160</v>
      </c>
      <c r="D53" s="1" t="s">
        <v>39</v>
      </c>
      <c r="E53" s="1" t="s">
        <v>71</v>
      </c>
      <c r="F53" s="2">
        <v>275.16000000000003</v>
      </c>
      <c r="G53" s="2" t="s">
        <v>93</v>
      </c>
      <c r="H53" s="2">
        <v>6</v>
      </c>
      <c r="I53" s="2">
        <v>1650.98</v>
      </c>
      <c r="J53" s="2" t="s">
        <v>18</v>
      </c>
      <c r="K53" s="2" t="s">
        <v>34</v>
      </c>
      <c r="L53" s="2" t="s">
        <v>27</v>
      </c>
      <c r="M53" s="2" t="s">
        <v>161</v>
      </c>
      <c r="N53" s="2" t="s">
        <v>1051</v>
      </c>
      <c r="O53" s="2" t="s">
        <v>1063</v>
      </c>
      <c r="P53" t="s">
        <v>1079</v>
      </c>
      <c r="Q53">
        <v>2025</v>
      </c>
    </row>
    <row r="54" spans="1:17" hidden="1" x14ac:dyDescent="0.25">
      <c r="A54" s="1" t="s">
        <v>162</v>
      </c>
      <c r="B54" s="3">
        <v>45324</v>
      </c>
      <c r="C54" s="1" t="s">
        <v>163</v>
      </c>
      <c r="D54" s="1" t="s">
        <v>39</v>
      </c>
      <c r="E54" s="1" t="s">
        <v>16</v>
      </c>
      <c r="F54" s="2">
        <v>1298</v>
      </c>
      <c r="G54" s="2" t="s">
        <v>72</v>
      </c>
      <c r="H54" s="2">
        <v>1</v>
      </c>
      <c r="I54" s="2">
        <v>1298</v>
      </c>
      <c r="J54" s="2" t="s">
        <v>18</v>
      </c>
      <c r="K54" s="2" t="s">
        <v>34</v>
      </c>
      <c r="L54" s="2" t="s">
        <v>27</v>
      </c>
      <c r="M54" s="2" t="s">
        <v>161</v>
      </c>
      <c r="N54" s="2" t="s">
        <v>1060</v>
      </c>
      <c r="O54" s="2" t="s">
        <v>1058</v>
      </c>
      <c r="P54" t="s">
        <v>1079</v>
      </c>
      <c r="Q54">
        <v>2024</v>
      </c>
    </row>
    <row r="55" spans="1:17" hidden="1" x14ac:dyDescent="0.25">
      <c r="A55" s="1" t="s">
        <v>164</v>
      </c>
      <c r="B55" s="3">
        <v>45405</v>
      </c>
      <c r="C55" s="1" t="s">
        <v>150</v>
      </c>
      <c r="D55" s="1" t="s">
        <v>15</v>
      </c>
      <c r="E55" s="1" t="s">
        <v>25</v>
      </c>
      <c r="F55" s="2">
        <v>414.79</v>
      </c>
      <c r="G55" s="2" t="s">
        <v>51</v>
      </c>
      <c r="H55" s="2">
        <v>5</v>
      </c>
      <c r="I55" s="2">
        <v>13174.279999999999</v>
      </c>
      <c r="J55" s="2" t="s">
        <v>63</v>
      </c>
      <c r="K55" s="2" t="s">
        <v>19</v>
      </c>
      <c r="L55" s="2" t="s">
        <v>20</v>
      </c>
      <c r="M55" s="2" t="s">
        <v>21</v>
      </c>
      <c r="N55" s="2" t="s">
        <v>1048</v>
      </c>
      <c r="O55" s="2" t="s">
        <v>1053</v>
      </c>
      <c r="P55" t="s">
        <v>1078</v>
      </c>
      <c r="Q55">
        <v>2024</v>
      </c>
    </row>
    <row r="56" spans="1:17" hidden="1" x14ac:dyDescent="0.25">
      <c r="A56" s="1" t="s">
        <v>165</v>
      </c>
      <c r="B56" s="3">
        <v>45379</v>
      </c>
      <c r="C56" s="1" t="s">
        <v>44</v>
      </c>
      <c r="D56" s="1" t="s">
        <v>31</v>
      </c>
      <c r="E56" s="1" t="s">
        <v>67</v>
      </c>
      <c r="F56" s="2">
        <v>122.52</v>
      </c>
      <c r="G56" s="2" t="s">
        <v>31</v>
      </c>
      <c r="H56" s="2">
        <v>7</v>
      </c>
      <c r="I56" s="2">
        <v>857.65</v>
      </c>
      <c r="J56" s="2" t="s">
        <v>18</v>
      </c>
      <c r="K56" s="2" t="s">
        <v>34</v>
      </c>
      <c r="L56" s="2" t="s">
        <v>20</v>
      </c>
      <c r="M56" s="2" t="s">
        <v>88</v>
      </c>
      <c r="N56" s="2" t="s">
        <v>1054</v>
      </c>
      <c r="O56" s="2" t="s">
        <v>1047</v>
      </c>
      <c r="P56" t="s">
        <v>1079</v>
      </c>
      <c r="Q56">
        <v>2024</v>
      </c>
    </row>
    <row r="57" spans="1:17" hidden="1" x14ac:dyDescent="0.25">
      <c r="A57" s="1" t="s">
        <v>166</v>
      </c>
      <c r="B57" s="3">
        <v>45448</v>
      </c>
      <c r="C57" s="1" t="s">
        <v>167</v>
      </c>
      <c r="D57" s="1" t="s">
        <v>39</v>
      </c>
      <c r="E57" s="1" t="s">
        <v>67</v>
      </c>
      <c r="F57" s="2">
        <v>72.42</v>
      </c>
      <c r="G57" s="2" t="s">
        <v>72</v>
      </c>
      <c r="H57" s="2">
        <v>9</v>
      </c>
      <c r="I57" s="2">
        <v>651.74</v>
      </c>
      <c r="J57" s="2" t="s">
        <v>33</v>
      </c>
      <c r="K57" s="2" t="s">
        <v>34</v>
      </c>
      <c r="L57" s="2" t="s">
        <v>20</v>
      </c>
      <c r="M57" s="2" t="s">
        <v>64</v>
      </c>
      <c r="N57" s="2" t="s">
        <v>1062</v>
      </c>
      <c r="O57" s="2" t="s">
        <v>1059</v>
      </c>
      <c r="P57" t="s">
        <v>1079</v>
      </c>
      <c r="Q57">
        <v>2024</v>
      </c>
    </row>
    <row r="58" spans="1:17" x14ac:dyDescent="0.25">
      <c r="A58" s="1" t="s">
        <v>168</v>
      </c>
      <c r="B58" s="3">
        <v>45890</v>
      </c>
      <c r="C58" s="1" t="s">
        <v>169</v>
      </c>
      <c r="D58" s="1" t="s">
        <v>24</v>
      </c>
      <c r="E58" s="1" t="s">
        <v>45</v>
      </c>
      <c r="F58" s="2">
        <v>248.57</v>
      </c>
      <c r="G58" s="2" t="s">
        <v>170</v>
      </c>
      <c r="H58" s="2">
        <v>7</v>
      </c>
      <c r="I58" s="2">
        <v>1740</v>
      </c>
      <c r="J58" s="2" t="s">
        <v>63</v>
      </c>
      <c r="K58" s="2" t="s">
        <v>34</v>
      </c>
      <c r="L58" s="2" t="s">
        <v>35</v>
      </c>
      <c r="M58" s="2" t="s">
        <v>52</v>
      </c>
      <c r="N58" s="2" t="s">
        <v>1051</v>
      </c>
      <c r="O58" s="2" t="s">
        <v>1047</v>
      </c>
      <c r="P58" t="s">
        <v>1079</v>
      </c>
      <c r="Q58">
        <v>2025</v>
      </c>
    </row>
    <row r="59" spans="1:17" hidden="1" x14ac:dyDescent="0.25">
      <c r="A59" s="1" t="s">
        <v>171</v>
      </c>
      <c r="B59" s="3">
        <v>45454</v>
      </c>
      <c r="C59" s="1" t="s">
        <v>23</v>
      </c>
      <c r="D59" s="1" t="s">
        <v>31</v>
      </c>
      <c r="E59" s="1" t="s">
        <v>71</v>
      </c>
      <c r="F59" s="2">
        <v>257.02</v>
      </c>
      <c r="G59" s="2" t="s">
        <v>46</v>
      </c>
      <c r="H59" s="2">
        <v>9</v>
      </c>
      <c r="I59" s="2">
        <v>2313.16</v>
      </c>
      <c r="J59" s="2" t="s">
        <v>18</v>
      </c>
      <c r="K59" s="2" t="s">
        <v>34</v>
      </c>
      <c r="L59" s="2" t="s">
        <v>27</v>
      </c>
      <c r="M59" s="2" t="s">
        <v>28</v>
      </c>
      <c r="N59" s="2" t="s">
        <v>1062</v>
      </c>
      <c r="O59" s="2" t="s">
        <v>1053</v>
      </c>
      <c r="P59" t="s">
        <v>1079</v>
      </c>
      <c r="Q59">
        <v>2024</v>
      </c>
    </row>
    <row r="60" spans="1:17" x14ac:dyDescent="0.25">
      <c r="A60" s="1" t="s">
        <v>172</v>
      </c>
      <c r="B60" s="3">
        <v>45772</v>
      </c>
      <c r="C60" s="1" t="s">
        <v>173</v>
      </c>
      <c r="D60" s="1" t="s">
        <v>24</v>
      </c>
      <c r="E60" s="1" t="s">
        <v>45</v>
      </c>
      <c r="F60" s="2">
        <v>85.68</v>
      </c>
      <c r="G60" s="2" t="s">
        <v>26</v>
      </c>
      <c r="H60" s="2">
        <v>6</v>
      </c>
      <c r="I60" s="2">
        <v>514.08000000000004</v>
      </c>
      <c r="J60" s="2" t="s">
        <v>18</v>
      </c>
      <c r="K60" s="2" t="s">
        <v>34</v>
      </c>
      <c r="L60" s="2" t="s">
        <v>41</v>
      </c>
      <c r="M60" s="2" t="s">
        <v>76</v>
      </c>
      <c r="N60" s="2" t="s">
        <v>1048</v>
      </c>
      <c r="O60" s="2" t="s">
        <v>1058</v>
      </c>
      <c r="P60" t="s">
        <v>1079</v>
      </c>
      <c r="Q60">
        <v>2025</v>
      </c>
    </row>
    <row r="61" spans="1:17" x14ac:dyDescent="0.25">
      <c r="A61" s="1" t="s">
        <v>174</v>
      </c>
      <c r="B61" s="3">
        <v>45908</v>
      </c>
      <c r="C61" s="1" t="s">
        <v>175</v>
      </c>
      <c r="D61" s="1" t="s">
        <v>15</v>
      </c>
      <c r="E61" s="1" t="s">
        <v>45</v>
      </c>
      <c r="F61" s="2">
        <v>471.58</v>
      </c>
      <c r="G61" s="2" t="s">
        <v>62</v>
      </c>
      <c r="H61" s="2">
        <v>12</v>
      </c>
      <c r="I61" s="2">
        <v>5658.96</v>
      </c>
      <c r="J61" s="2" t="s">
        <v>18</v>
      </c>
      <c r="K61" s="2" t="s">
        <v>19</v>
      </c>
      <c r="L61" s="2" t="s">
        <v>35</v>
      </c>
      <c r="M61" s="2" t="s">
        <v>126</v>
      </c>
      <c r="N61" s="2" t="s">
        <v>1049</v>
      </c>
      <c r="O61" s="2" t="s">
        <v>1056</v>
      </c>
      <c r="P61" t="s">
        <v>1078</v>
      </c>
      <c r="Q61">
        <v>2025</v>
      </c>
    </row>
    <row r="62" spans="1:17" hidden="1" x14ac:dyDescent="0.25">
      <c r="A62" s="1" t="s">
        <v>176</v>
      </c>
      <c r="B62" s="3">
        <v>45586</v>
      </c>
      <c r="C62" s="1" t="s">
        <v>23</v>
      </c>
      <c r="D62" s="1" t="s">
        <v>24</v>
      </c>
      <c r="E62" s="1" t="s">
        <v>67</v>
      </c>
      <c r="F62" s="2">
        <v>128.18</v>
      </c>
      <c r="G62" s="2" t="s">
        <v>68</v>
      </c>
      <c r="H62" s="2">
        <v>15</v>
      </c>
      <c r="I62" s="2">
        <v>1922.72</v>
      </c>
      <c r="J62" s="2" t="s">
        <v>18</v>
      </c>
      <c r="K62" s="2" t="s">
        <v>19</v>
      </c>
      <c r="L62" s="2" t="s">
        <v>47</v>
      </c>
      <c r="M62" s="2" t="s">
        <v>85</v>
      </c>
      <c r="N62" s="2" t="s">
        <v>1046</v>
      </c>
      <c r="O62" s="2" t="s">
        <v>1056</v>
      </c>
      <c r="P62" t="s">
        <v>1079</v>
      </c>
      <c r="Q62">
        <v>2024</v>
      </c>
    </row>
    <row r="63" spans="1:17" x14ac:dyDescent="0.25">
      <c r="A63" s="1" t="s">
        <v>177</v>
      </c>
      <c r="B63" s="3">
        <v>45907</v>
      </c>
      <c r="C63" s="1" t="s">
        <v>156</v>
      </c>
      <c r="D63" s="1" t="s">
        <v>31</v>
      </c>
      <c r="E63" s="1" t="s">
        <v>16</v>
      </c>
      <c r="F63" s="2">
        <v>96.43</v>
      </c>
      <c r="G63" s="2" t="s">
        <v>32</v>
      </c>
      <c r="H63" s="2">
        <v>13</v>
      </c>
      <c r="I63" s="2">
        <v>1253.54</v>
      </c>
      <c r="J63" s="2" t="s">
        <v>63</v>
      </c>
      <c r="K63" s="2" t="s">
        <v>19</v>
      </c>
      <c r="L63" s="2" t="s">
        <v>27</v>
      </c>
      <c r="M63" s="2" t="s">
        <v>59</v>
      </c>
      <c r="N63" s="2" t="s">
        <v>1049</v>
      </c>
      <c r="O63" s="2" t="s">
        <v>1055</v>
      </c>
      <c r="P63" t="s">
        <v>1079</v>
      </c>
      <c r="Q63">
        <v>2025</v>
      </c>
    </row>
    <row r="64" spans="1:17" hidden="1" x14ac:dyDescent="0.25">
      <c r="A64" s="1" t="s">
        <v>178</v>
      </c>
      <c r="B64" s="3">
        <v>45460</v>
      </c>
      <c r="C64" s="1" t="s">
        <v>95</v>
      </c>
      <c r="D64" s="1" t="s">
        <v>15</v>
      </c>
      <c r="E64" s="1" t="s">
        <v>45</v>
      </c>
      <c r="F64" s="2">
        <v>79.13</v>
      </c>
      <c r="G64" s="2" t="s">
        <v>51</v>
      </c>
      <c r="H64" s="2">
        <v>12</v>
      </c>
      <c r="I64" s="2">
        <v>949.59</v>
      </c>
      <c r="J64" s="2" t="s">
        <v>33</v>
      </c>
      <c r="K64" s="2" t="s">
        <v>19</v>
      </c>
      <c r="L64" s="2" t="s">
        <v>47</v>
      </c>
      <c r="M64" s="2" t="s">
        <v>48</v>
      </c>
      <c r="N64" s="2" t="s">
        <v>1062</v>
      </c>
      <c r="O64" s="2" t="s">
        <v>1056</v>
      </c>
      <c r="P64" t="s">
        <v>1079</v>
      </c>
      <c r="Q64">
        <v>2024</v>
      </c>
    </row>
    <row r="65" spans="1:17" hidden="1" x14ac:dyDescent="0.25">
      <c r="A65" s="1" t="s">
        <v>179</v>
      </c>
      <c r="B65" s="3">
        <v>45382</v>
      </c>
      <c r="C65" s="1" t="s">
        <v>30</v>
      </c>
      <c r="D65" s="1" t="s">
        <v>15</v>
      </c>
      <c r="E65" s="1" t="s">
        <v>25</v>
      </c>
      <c r="F65" s="2">
        <v>128.49</v>
      </c>
      <c r="G65" s="2" t="s">
        <v>17</v>
      </c>
      <c r="H65" s="2">
        <v>6</v>
      </c>
      <c r="I65" s="2">
        <v>770.92</v>
      </c>
      <c r="J65" s="2" t="s">
        <v>63</v>
      </c>
      <c r="K65" s="2" t="s">
        <v>34</v>
      </c>
      <c r="L65" s="2" t="s">
        <v>20</v>
      </c>
      <c r="M65" s="2" t="s">
        <v>64</v>
      </c>
      <c r="N65" s="2" t="s">
        <v>1054</v>
      </c>
      <c r="O65" s="2" t="s">
        <v>1055</v>
      </c>
      <c r="P65" t="s">
        <v>1079</v>
      </c>
      <c r="Q65">
        <v>2024</v>
      </c>
    </row>
    <row r="66" spans="1:17" x14ac:dyDescent="0.25">
      <c r="A66" s="1" t="s">
        <v>180</v>
      </c>
      <c r="B66" s="3">
        <v>45822</v>
      </c>
      <c r="C66" s="1" t="s">
        <v>181</v>
      </c>
      <c r="D66" s="1" t="s">
        <v>24</v>
      </c>
      <c r="E66" s="1" t="s">
        <v>16</v>
      </c>
      <c r="F66" s="2">
        <v>91.36</v>
      </c>
      <c r="G66" s="2" t="s">
        <v>75</v>
      </c>
      <c r="H66" s="2">
        <v>14</v>
      </c>
      <c r="I66" s="2">
        <v>1279</v>
      </c>
      <c r="J66" s="2" t="s">
        <v>18</v>
      </c>
      <c r="K66" s="2" t="s">
        <v>19</v>
      </c>
      <c r="L66" s="2" t="s">
        <v>35</v>
      </c>
      <c r="M66" s="2" t="s">
        <v>36</v>
      </c>
      <c r="N66" s="2" t="s">
        <v>1062</v>
      </c>
      <c r="O66" s="2" t="s">
        <v>1063</v>
      </c>
      <c r="P66" t="s">
        <v>1079</v>
      </c>
      <c r="Q66">
        <v>2025</v>
      </c>
    </row>
    <row r="67" spans="1:17" hidden="1" x14ac:dyDescent="0.25">
      <c r="A67" s="1" t="s">
        <v>182</v>
      </c>
      <c r="B67" s="3">
        <v>45656</v>
      </c>
      <c r="C67" s="1" t="s">
        <v>38</v>
      </c>
      <c r="D67" s="1" t="s">
        <v>24</v>
      </c>
      <c r="E67" s="1" t="s">
        <v>25</v>
      </c>
      <c r="F67" s="2">
        <v>523.41999999999996</v>
      </c>
      <c r="G67" s="2" t="s">
        <v>68</v>
      </c>
      <c r="H67" s="2">
        <v>8</v>
      </c>
      <c r="I67" s="2">
        <v>4187.34</v>
      </c>
      <c r="J67" s="2" t="s">
        <v>63</v>
      </c>
      <c r="K67" s="2" t="s">
        <v>19</v>
      </c>
      <c r="L67" s="2" t="s">
        <v>47</v>
      </c>
      <c r="M67" s="2" t="s">
        <v>153</v>
      </c>
      <c r="N67" s="2" t="s">
        <v>1061</v>
      </c>
      <c r="O67" s="2" t="s">
        <v>1056</v>
      </c>
      <c r="P67" t="s">
        <v>1078</v>
      </c>
      <c r="Q67">
        <v>2024</v>
      </c>
    </row>
    <row r="68" spans="1:17" hidden="1" x14ac:dyDescent="0.25">
      <c r="A68" s="1" t="s">
        <v>183</v>
      </c>
      <c r="B68" s="3">
        <v>45569</v>
      </c>
      <c r="C68" s="1" t="s">
        <v>184</v>
      </c>
      <c r="D68" s="1" t="s">
        <v>24</v>
      </c>
      <c r="E68" s="1" t="s">
        <v>25</v>
      </c>
      <c r="F68" s="2">
        <v>1471.7</v>
      </c>
      <c r="G68" s="2" t="s">
        <v>170</v>
      </c>
      <c r="H68" s="2">
        <v>1</v>
      </c>
      <c r="I68" s="2">
        <v>1471.7</v>
      </c>
      <c r="J68" s="2" t="s">
        <v>18</v>
      </c>
      <c r="K68" s="2" t="s">
        <v>34</v>
      </c>
      <c r="L68" s="2" t="s">
        <v>41</v>
      </c>
      <c r="M68" s="2" t="s">
        <v>42</v>
      </c>
      <c r="N68" s="2" t="s">
        <v>1046</v>
      </c>
      <c r="O68" s="2" t="s">
        <v>1058</v>
      </c>
      <c r="P68" t="s">
        <v>1079</v>
      </c>
      <c r="Q68">
        <v>2024</v>
      </c>
    </row>
    <row r="69" spans="1:17" x14ac:dyDescent="0.25">
      <c r="A69" s="1" t="s">
        <v>185</v>
      </c>
      <c r="B69" s="3">
        <v>45768</v>
      </c>
      <c r="C69" s="1" t="s">
        <v>38</v>
      </c>
      <c r="D69" s="1" t="s">
        <v>39</v>
      </c>
      <c r="E69" s="1" t="s">
        <v>16</v>
      </c>
      <c r="F69" s="2">
        <v>264.23</v>
      </c>
      <c r="G69" s="2" t="s">
        <v>1083</v>
      </c>
      <c r="H69" s="2">
        <v>6</v>
      </c>
      <c r="I69" s="2">
        <v>1585.37</v>
      </c>
      <c r="J69" s="2" t="s">
        <v>33</v>
      </c>
      <c r="K69" s="2" t="s">
        <v>34</v>
      </c>
      <c r="L69" s="2" t="s">
        <v>47</v>
      </c>
      <c r="M69" s="2" t="s">
        <v>85</v>
      </c>
      <c r="N69" s="2" t="s">
        <v>1048</v>
      </c>
      <c r="O69" s="2" t="s">
        <v>1056</v>
      </c>
      <c r="P69" t="s">
        <v>1079</v>
      </c>
      <c r="Q69">
        <v>2025</v>
      </c>
    </row>
    <row r="70" spans="1:17" hidden="1" x14ac:dyDescent="0.25">
      <c r="A70" s="1" t="s">
        <v>186</v>
      </c>
      <c r="B70" s="3">
        <v>45612</v>
      </c>
      <c r="C70" s="1" t="s">
        <v>116</v>
      </c>
      <c r="D70" s="1" t="s">
        <v>31</v>
      </c>
      <c r="E70" s="1" t="s">
        <v>16</v>
      </c>
      <c r="F70" s="2">
        <v>368.87</v>
      </c>
      <c r="G70" s="2" t="s">
        <v>31</v>
      </c>
      <c r="H70" s="2">
        <v>11</v>
      </c>
      <c r="I70" s="2">
        <v>4057.55</v>
      </c>
      <c r="J70" s="2" t="s">
        <v>18</v>
      </c>
      <c r="K70" s="2" t="s">
        <v>19</v>
      </c>
      <c r="L70" s="2" t="s">
        <v>47</v>
      </c>
      <c r="M70" s="2" t="s">
        <v>85</v>
      </c>
      <c r="N70" s="2" t="s">
        <v>1064</v>
      </c>
      <c r="O70" s="2" t="s">
        <v>1063</v>
      </c>
      <c r="P70" t="s">
        <v>1079</v>
      </c>
      <c r="Q70">
        <v>2024</v>
      </c>
    </row>
    <row r="71" spans="1:17" hidden="1" x14ac:dyDescent="0.25">
      <c r="A71" s="1" t="s">
        <v>187</v>
      </c>
      <c r="B71" s="3">
        <v>45411</v>
      </c>
      <c r="C71" s="1" t="s">
        <v>188</v>
      </c>
      <c r="D71" s="1" t="s">
        <v>55</v>
      </c>
      <c r="E71" s="1" t="s">
        <v>67</v>
      </c>
      <c r="F71" s="2">
        <v>110.67</v>
      </c>
      <c r="G71" s="2" t="s">
        <v>56</v>
      </c>
      <c r="H71" s="2">
        <v>14</v>
      </c>
      <c r="I71" s="2">
        <v>1549.4</v>
      </c>
      <c r="J71" s="2" t="s">
        <v>63</v>
      </c>
      <c r="K71" s="2" t="s">
        <v>19</v>
      </c>
      <c r="L71" s="2" t="s">
        <v>47</v>
      </c>
      <c r="M71" s="2" t="s">
        <v>48</v>
      </c>
      <c r="N71" s="2" t="s">
        <v>1048</v>
      </c>
      <c r="O71" s="2" t="s">
        <v>1056</v>
      </c>
      <c r="P71" t="s">
        <v>1079</v>
      </c>
      <c r="Q71">
        <v>2024</v>
      </c>
    </row>
    <row r="72" spans="1:17" x14ac:dyDescent="0.25">
      <c r="A72" s="1" t="s">
        <v>189</v>
      </c>
      <c r="B72" s="3">
        <v>45868</v>
      </c>
      <c r="C72" s="1" t="s">
        <v>190</v>
      </c>
      <c r="D72" s="1" t="s">
        <v>39</v>
      </c>
      <c r="E72" s="1" t="s">
        <v>45</v>
      </c>
      <c r="F72" s="2">
        <v>165.21</v>
      </c>
      <c r="G72" s="2" t="s">
        <v>40</v>
      </c>
      <c r="H72" s="2">
        <v>11</v>
      </c>
      <c r="I72" s="2">
        <v>1817.29</v>
      </c>
      <c r="J72" s="2" t="s">
        <v>18</v>
      </c>
      <c r="K72" s="2" t="s">
        <v>19</v>
      </c>
      <c r="L72" s="2" t="s">
        <v>20</v>
      </c>
      <c r="M72" s="2" t="s">
        <v>64</v>
      </c>
      <c r="N72" s="2" t="s">
        <v>1052</v>
      </c>
      <c r="O72" s="2" t="s">
        <v>1059</v>
      </c>
      <c r="P72" t="s">
        <v>1079</v>
      </c>
      <c r="Q72">
        <v>2025</v>
      </c>
    </row>
    <row r="73" spans="1:17" hidden="1" x14ac:dyDescent="0.25">
      <c r="A73" s="1" t="s">
        <v>191</v>
      </c>
      <c r="B73" s="3">
        <v>45594</v>
      </c>
      <c r="C73" s="1" t="s">
        <v>173</v>
      </c>
      <c r="D73" s="1" t="s">
        <v>15</v>
      </c>
      <c r="E73" s="1" t="s">
        <v>16</v>
      </c>
      <c r="F73" s="2">
        <v>90.37</v>
      </c>
      <c r="G73" s="2" t="s">
        <v>51</v>
      </c>
      <c r="H73" s="2">
        <v>17</v>
      </c>
      <c r="I73" s="2">
        <v>1536.23</v>
      </c>
      <c r="J73" s="2" t="s">
        <v>33</v>
      </c>
      <c r="K73" s="2" t="s">
        <v>19</v>
      </c>
      <c r="L73" s="2" t="s">
        <v>35</v>
      </c>
      <c r="M73" s="2" t="s">
        <v>52</v>
      </c>
      <c r="N73" s="2" t="s">
        <v>1046</v>
      </c>
      <c r="O73" s="2" t="s">
        <v>1053</v>
      </c>
      <c r="P73" t="s">
        <v>1079</v>
      </c>
      <c r="Q73">
        <v>2024</v>
      </c>
    </row>
    <row r="74" spans="1:17" hidden="1" x14ac:dyDescent="0.25">
      <c r="A74" s="1" t="s">
        <v>192</v>
      </c>
      <c r="B74" s="3">
        <v>45609</v>
      </c>
      <c r="C74" s="1" t="s">
        <v>193</v>
      </c>
      <c r="D74" s="1" t="s">
        <v>24</v>
      </c>
      <c r="E74" s="1" t="s">
        <v>67</v>
      </c>
      <c r="F74" s="2">
        <v>126.73</v>
      </c>
      <c r="G74" s="2" t="s">
        <v>26</v>
      </c>
      <c r="H74" s="2">
        <v>11</v>
      </c>
      <c r="I74" s="2">
        <v>1394</v>
      </c>
      <c r="J74" s="2" t="s">
        <v>63</v>
      </c>
      <c r="K74" s="2" t="s">
        <v>19</v>
      </c>
      <c r="L74" s="2" t="s">
        <v>41</v>
      </c>
      <c r="M74" s="2" t="s">
        <v>76</v>
      </c>
      <c r="N74" s="2" t="s">
        <v>1064</v>
      </c>
      <c r="O74" s="2" t="s">
        <v>1059</v>
      </c>
      <c r="P74" t="s">
        <v>1079</v>
      </c>
      <c r="Q74">
        <v>2024</v>
      </c>
    </row>
    <row r="75" spans="1:17" x14ac:dyDescent="0.25">
      <c r="A75" s="1" t="s">
        <v>194</v>
      </c>
      <c r="B75" s="3">
        <v>45744</v>
      </c>
      <c r="C75" s="1" t="s">
        <v>133</v>
      </c>
      <c r="D75" s="1" t="s">
        <v>55</v>
      </c>
      <c r="E75" s="1" t="s">
        <v>16</v>
      </c>
      <c r="F75" s="2">
        <v>98.22</v>
      </c>
      <c r="G75" s="2" t="s">
        <v>90</v>
      </c>
      <c r="H75" s="2">
        <v>18</v>
      </c>
      <c r="I75" s="2">
        <v>1768</v>
      </c>
      <c r="J75" s="2" t="s">
        <v>18</v>
      </c>
      <c r="K75" s="2" t="s">
        <v>19</v>
      </c>
      <c r="L75" s="2" t="s">
        <v>27</v>
      </c>
      <c r="M75" s="2" t="s">
        <v>28</v>
      </c>
      <c r="N75" s="2" t="s">
        <v>1054</v>
      </c>
      <c r="O75" s="2" t="s">
        <v>1058</v>
      </c>
      <c r="P75" t="s">
        <v>1079</v>
      </c>
      <c r="Q75">
        <v>2025</v>
      </c>
    </row>
    <row r="76" spans="1:17" hidden="1" x14ac:dyDescent="0.25">
      <c r="A76" s="1" t="s">
        <v>195</v>
      </c>
      <c r="B76" s="3">
        <v>45387</v>
      </c>
      <c r="C76" s="1" t="s">
        <v>196</v>
      </c>
      <c r="D76" s="1" t="s">
        <v>31</v>
      </c>
      <c r="E76" s="1" t="s">
        <v>71</v>
      </c>
      <c r="F76" s="2">
        <v>174.41</v>
      </c>
      <c r="G76" s="2" t="s">
        <v>46</v>
      </c>
      <c r="H76" s="2">
        <v>8</v>
      </c>
      <c r="I76" s="2">
        <v>1395.25</v>
      </c>
      <c r="J76" s="2" t="s">
        <v>18</v>
      </c>
      <c r="K76" s="2" t="s">
        <v>34</v>
      </c>
      <c r="L76" s="2" t="s">
        <v>41</v>
      </c>
      <c r="M76" s="2" t="s">
        <v>42</v>
      </c>
      <c r="N76" s="2" t="s">
        <v>1048</v>
      </c>
      <c r="O76" s="2" t="s">
        <v>1058</v>
      </c>
      <c r="P76" t="s">
        <v>1079</v>
      </c>
      <c r="Q76">
        <v>2024</v>
      </c>
    </row>
    <row r="77" spans="1:17" hidden="1" x14ac:dyDescent="0.25">
      <c r="A77" s="1" t="s">
        <v>197</v>
      </c>
      <c r="B77" s="3">
        <v>45614</v>
      </c>
      <c r="C77" s="1" t="s">
        <v>97</v>
      </c>
      <c r="D77" s="1" t="s">
        <v>31</v>
      </c>
      <c r="E77" s="1" t="s">
        <v>16</v>
      </c>
      <c r="F77" s="2">
        <v>73.42</v>
      </c>
      <c r="G77" s="2" t="s">
        <v>46</v>
      </c>
      <c r="H77" s="2">
        <v>12</v>
      </c>
      <c r="I77" s="2">
        <v>881.05</v>
      </c>
      <c r="J77" s="2" t="s">
        <v>18</v>
      </c>
      <c r="K77" s="2" t="s">
        <v>19</v>
      </c>
      <c r="L77" s="2" t="s">
        <v>35</v>
      </c>
      <c r="M77" s="2" t="s">
        <v>126</v>
      </c>
      <c r="N77" s="2" t="s">
        <v>1064</v>
      </c>
      <c r="O77" s="2" t="s">
        <v>1056</v>
      </c>
      <c r="P77" t="s">
        <v>1079</v>
      </c>
      <c r="Q77">
        <v>2024</v>
      </c>
    </row>
    <row r="78" spans="1:17" hidden="1" x14ac:dyDescent="0.25">
      <c r="A78" s="1" t="s">
        <v>198</v>
      </c>
      <c r="B78" s="3">
        <v>45590</v>
      </c>
      <c r="C78" s="1" t="s">
        <v>97</v>
      </c>
      <c r="D78" s="1" t="s">
        <v>55</v>
      </c>
      <c r="E78" s="1" t="s">
        <v>67</v>
      </c>
      <c r="F78" s="2">
        <v>54.83</v>
      </c>
      <c r="G78" s="2" t="s">
        <v>148</v>
      </c>
      <c r="H78" s="2">
        <v>13</v>
      </c>
      <c r="I78" s="2">
        <v>712.73</v>
      </c>
      <c r="J78" s="2" t="s">
        <v>63</v>
      </c>
      <c r="K78" s="2" t="s">
        <v>19</v>
      </c>
      <c r="L78" s="2" t="s">
        <v>20</v>
      </c>
      <c r="M78" s="2" t="s">
        <v>21</v>
      </c>
      <c r="N78" s="2" t="s">
        <v>1046</v>
      </c>
      <c r="O78" s="2" t="s">
        <v>1058</v>
      </c>
      <c r="P78" t="s">
        <v>1079</v>
      </c>
      <c r="Q78">
        <v>2024</v>
      </c>
    </row>
    <row r="79" spans="1:17" hidden="1" x14ac:dyDescent="0.25">
      <c r="A79" s="1" t="s">
        <v>199</v>
      </c>
      <c r="B79" s="3">
        <v>45323</v>
      </c>
      <c r="C79" s="1" t="s">
        <v>58</v>
      </c>
      <c r="D79" s="1" t="s">
        <v>15</v>
      </c>
      <c r="E79" s="1" t="s">
        <v>45</v>
      </c>
      <c r="F79" s="2">
        <v>325.17</v>
      </c>
      <c r="G79" s="2" t="s">
        <v>51</v>
      </c>
      <c r="H79" s="2">
        <v>8</v>
      </c>
      <c r="I79" s="2">
        <v>2601.35</v>
      </c>
      <c r="J79" s="2" t="s">
        <v>63</v>
      </c>
      <c r="K79" s="2" t="s">
        <v>34</v>
      </c>
      <c r="L79" s="2" t="s">
        <v>27</v>
      </c>
      <c r="M79" s="2" t="s">
        <v>28</v>
      </c>
      <c r="N79" s="2" t="s">
        <v>1060</v>
      </c>
      <c r="O79" s="2" t="s">
        <v>1047</v>
      </c>
      <c r="P79" t="s">
        <v>1079</v>
      </c>
      <c r="Q79">
        <v>2024</v>
      </c>
    </row>
    <row r="80" spans="1:17" hidden="1" x14ac:dyDescent="0.25">
      <c r="A80" s="1" t="s">
        <v>200</v>
      </c>
      <c r="B80" s="3">
        <v>45330</v>
      </c>
      <c r="C80" s="1" t="s">
        <v>201</v>
      </c>
      <c r="D80" s="1" t="s">
        <v>55</v>
      </c>
      <c r="E80" s="1" t="s">
        <v>71</v>
      </c>
      <c r="F80" s="2">
        <v>380.44</v>
      </c>
      <c r="G80" s="2" t="s">
        <v>79</v>
      </c>
      <c r="H80" s="2">
        <v>9</v>
      </c>
      <c r="I80" s="2">
        <v>3424</v>
      </c>
      <c r="J80" s="2" t="s">
        <v>18</v>
      </c>
      <c r="K80" s="2" t="s">
        <v>19</v>
      </c>
      <c r="L80" s="2" t="s">
        <v>35</v>
      </c>
      <c r="M80" s="2" t="s">
        <v>126</v>
      </c>
      <c r="N80" s="2" t="s">
        <v>1060</v>
      </c>
      <c r="O80" s="2" t="s">
        <v>1047</v>
      </c>
      <c r="P80" t="s">
        <v>1079</v>
      </c>
      <c r="Q80">
        <v>2024</v>
      </c>
    </row>
    <row r="81" spans="1:17" x14ac:dyDescent="0.25">
      <c r="A81" s="1" t="s">
        <v>202</v>
      </c>
      <c r="B81" s="3">
        <v>45707</v>
      </c>
      <c r="C81" s="1" t="s">
        <v>147</v>
      </c>
      <c r="D81" s="1" t="s">
        <v>55</v>
      </c>
      <c r="E81" s="1" t="s">
        <v>45</v>
      </c>
      <c r="F81" s="2">
        <v>2101.08</v>
      </c>
      <c r="G81" s="2" t="s">
        <v>56</v>
      </c>
      <c r="H81" s="2">
        <v>1</v>
      </c>
      <c r="I81" s="2">
        <v>2101.08</v>
      </c>
      <c r="J81" s="2" t="s">
        <v>63</v>
      </c>
      <c r="K81" s="2" t="s">
        <v>34</v>
      </c>
      <c r="L81" s="2" t="s">
        <v>27</v>
      </c>
      <c r="M81" s="2" t="s">
        <v>59</v>
      </c>
      <c r="N81" s="2" t="s">
        <v>1060</v>
      </c>
      <c r="O81" s="2" t="s">
        <v>1059</v>
      </c>
      <c r="P81" t="s">
        <v>1079</v>
      </c>
      <c r="Q81">
        <v>2025</v>
      </c>
    </row>
    <row r="82" spans="1:17" x14ac:dyDescent="0.25">
      <c r="A82" s="1" t="s">
        <v>203</v>
      </c>
      <c r="B82" s="3">
        <v>45774</v>
      </c>
      <c r="C82" s="1" t="s">
        <v>204</v>
      </c>
      <c r="D82" s="1" t="s">
        <v>24</v>
      </c>
      <c r="E82" s="1" t="s">
        <v>71</v>
      </c>
      <c r="F82" s="2">
        <v>6307.26</v>
      </c>
      <c r="G82" s="2" t="s">
        <v>170</v>
      </c>
      <c r="H82" s="2">
        <v>1</v>
      </c>
      <c r="I82" s="2">
        <v>6307.26</v>
      </c>
      <c r="J82" s="2" t="s">
        <v>18</v>
      </c>
      <c r="K82" s="2" t="s">
        <v>19</v>
      </c>
      <c r="L82" s="2" t="s">
        <v>41</v>
      </c>
      <c r="M82" s="2" t="s">
        <v>141</v>
      </c>
      <c r="N82" s="2" t="s">
        <v>1048</v>
      </c>
      <c r="O82" s="2" t="s">
        <v>1055</v>
      </c>
      <c r="P82" t="s">
        <v>1078</v>
      </c>
      <c r="Q82">
        <v>2025</v>
      </c>
    </row>
    <row r="83" spans="1:17" hidden="1" x14ac:dyDescent="0.25">
      <c r="A83" s="1" t="s">
        <v>205</v>
      </c>
      <c r="B83" s="3">
        <v>45319</v>
      </c>
      <c r="C83" s="1" t="s">
        <v>23</v>
      </c>
      <c r="D83" s="1" t="s">
        <v>31</v>
      </c>
      <c r="E83" s="1" t="s">
        <v>71</v>
      </c>
      <c r="F83" s="2">
        <v>66.02</v>
      </c>
      <c r="G83" s="2" t="s">
        <v>98</v>
      </c>
      <c r="H83" s="2">
        <v>11</v>
      </c>
      <c r="I83" s="2">
        <v>726.27</v>
      </c>
      <c r="J83" s="2" t="s">
        <v>18</v>
      </c>
      <c r="K83" s="2" t="s">
        <v>19</v>
      </c>
      <c r="L83" s="2" t="s">
        <v>27</v>
      </c>
      <c r="M83" s="2" t="s">
        <v>28</v>
      </c>
      <c r="N83" s="2" t="s">
        <v>1050</v>
      </c>
      <c r="O83" s="2" t="s">
        <v>1055</v>
      </c>
      <c r="P83" t="s">
        <v>1079</v>
      </c>
      <c r="Q83">
        <v>2024</v>
      </c>
    </row>
    <row r="84" spans="1:17" x14ac:dyDescent="0.25">
      <c r="A84" s="1" t="s">
        <v>206</v>
      </c>
      <c r="B84" s="3">
        <v>45786</v>
      </c>
      <c r="C84" s="1" t="s">
        <v>207</v>
      </c>
      <c r="D84" s="1" t="s">
        <v>55</v>
      </c>
      <c r="E84" s="1" t="s">
        <v>71</v>
      </c>
      <c r="F84" s="2">
        <v>84.67</v>
      </c>
      <c r="G84" s="2" t="s">
        <v>79</v>
      </c>
      <c r="H84" s="2">
        <v>9</v>
      </c>
      <c r="I84" s="2">
        <v>762.06</v>
      </c>
      <c r="J84" s="2" t="s">
        <v>63</v>
      </c>
      <c r="K84" s="2" t="s">
        <v>34</v>
      </c>
      <c r="L84" s="2" t="s">
        <v>41</v>
      </c>
      <c r="M84" s="2" t="s">
        <v>42</v>
      </c>
      <c r="N84" s="2" t="s">
        <v>1057</v>
      </c>
      <c r="O84" s="2" t="s">
        <v>1058</v>
      </c>
      <c r="P84" t="s">
        <v>1079</v>
      </c>
      <c r="Q84">
        <v>2025</v>
      </c>
    </row>
    <row r="85" spans="1:17" hidden="1" x14ac:dyDescent="0.25">
      <c r="A85" s="1" t="s">
        <v>208</v>
      </c>
      <c r="B85" s="3">
        <v>45644</v>
      </c>
      <c r="C85" s="1" t="s">
        <v>209</v>
      </c>
      <c r="D85" s="1" t="s">
        <v>24</v>
      </c>
      <c r="E85" s="1" t="s">
        <v>67</v>
      </c>
      <c r="F85" s="2">
        <v>234.45</v>
      </c>
      <c r="G85" s="2" t="s">
        <v>68</v>
      </c>
      <c r="H85" s="2">
        <v>16</v>
      </c>
      <c r="I85" s="2">
        <v>3751.2</v>
      </c>
      <c r="J85" s="2" t="s">
        <v>63</v>
      </c>
      <c r="K85" s="2" t="s">
        <v>19</v>
      </c>
      <c r="L85" s="2" t="s">
        <v>41</v>
      </c>
      <c r="M85" s="2" t="s">
        <v>76</v>
      </c>
      <c r="N85" s="2" t="s">
        <v>1061</v>
      </c>
      <c r="O85" s="2" t="s">
        <v>1059</v>
      </c>
      <c r="P85" t="s">
        <v>1079</v>
      </c>
      <c r="Q85">
        <v>2024</v>
      </c>
    </row>
    <row r="86" spans="1:17" hidden="1" x14ac:dyDescent="0.25">
      <c r="A86" s="1" t="s">
        <v>210</v>
      </c>
      <c r="B86" s="3">
        <v>45387</v>
      </c>
      <c r="C86" s="1" t="s">
        <v>50</v>
      </c>
      <c r="D86" s="1" t="s">
        <v>39</v>
      </c>
      <c r="E86" s="1" t="s">
        <v>71</v>
      </c>
      <c r="F86" s="2">
        <v>144.77000000000001</v>
      </c>
      <c r="G86" s="2" t="s">
        <v>136</v>
      </c>
      <c r="H86" s="2">
        <v>13</v>
      </c>
      <c r="I86" s="2">
        <v>1882</v>
      </c>
      <c r="J86" s="2" t="s">
        <v>18</v>
      </c>
      <c r="K86" s="2" t="s">
        <v>19</v>
      </c>
      <c r="L86" s="2" t="s">
        <v>47</v>
      </c>
      <c r="M86" s="2" t="s">
        <v>85</v>
      </c>
      <c r="N86" s="2" t="s">
        <v>1048</v>
      </c>
      <c r="O86" s="2" t="s">
        <v>1058</v>
      </c>
      <c r="P86" t="s">
        <v>1079</v>
      </c>
      <c r="Q86">
        <v>2024</v>
      </c>
    </row>
    <row r="87" spans="1:17" x14ac:dyDescent="0.25">
      <c r="A87" s="1" t="s">
        <v>211</v>
      </c>
      <c r="B87" s="3">
        <v>45774</v>
      </c>
      <c r="C87" s="1" t="s">
        <v>116</v>
      </c>
      <c r="D87" s="1" t="s">
        <v>55</v>
      </c>
      <c r="E87" s="1" t="s">
        <v>16</v>
      </c>
      <c r="F87" s="2">
        <v>107.64</v>
      </c>
      <c r="G87" s="2" t="s">
        <v>56</v>
      </c>
      <c r="H87" s="2">
        <v>18</v>
      </c>
      <c r="I87" s="2">
        <v>1937.59</v>
      </c>
      <c r="J87" s="2" t="s">
        <v>18</v>
      </c>
      <c r="K87" s="2" t="s">
        <v>19</v>
      </c>
      <c r="L87" s="2" t="s">
        <v>20</v>
      </c>
      <c r="M87" s="2" t="s">
        <v>88</v>
      </c>
      <c r="N87" s="2" t="s">
        <v>1048</v>
      </c>
      <c r="O87" s="2" t="s">
        <v>1055</v>
      </c>
      <c r="P87" t="s">
        <v>1079</v>
      </c>
      <c r="Q87">
        <v>2025</v>
      </c>
    </row>
    <row r="88" spans="1:17" hidden="1" x14ac:dyDescent="0.25">
      <c r="A88" s="1" t="s">
        <v>212</v>
      </c>
      <c r="B88" s="3">
        <v>45410</v>
      </c>
      <c r="C88" s="1" t="s">
        <v>175</v>
      </c>
      <c r="D88" s="1" t="s">
        <v>39</v>
      </c>
      <c r="E88" s="1" t="s">
        <v>16</v>
      </c>
      <c r="F88" s="2">
        <v>65.25</v>
      </c>
      <c r="G88" s="2" t="s">
        <v>72</v>
      </c>
      <c r="H88" s="2">
        <v>12</v>
      </c>
      <c r="I88" s="2">
        <v>782.94</v>
      </c>
      <c r="J88" s="2" t="s">
        <v>18</v>
      </c>
      <c r="K88" s="2" t="s">
        <v>19</v>
      </c>
      <c r="L88" s="2" t="s">
        <v>41</v>
      </c>
      <c r="M88" s="2" t="s">
        <v>42</v>
      </c>
      <c r="N88" s="2" t="s">
        <v>1048</v>
      </c>
      <c r="O88" s="2" t="s">
        <v>1055</v>
      </c>
      <c r="P88" t="s">
        <v>1079</v>
      </c>
      <c r="Q88">
        <v>2024</v>
      </c>
    </row>
    <row r="89" spans="1:17" x14ac:dyDescent="0.25">
      <c r="A89" s="1" t="s">
        <v>213</v>
      </c>
      <c r="B89" s="3">
        <v>45810</v>
      </c>
      <c r="C89" s="1" t="s">
        <v>44</v>
      </c>
      <c r="D89" s="1" t="s">
        <v>24</v>
      </c>
      <c r="E89" s="1" t="s">
        <v>16</v>
      </c>
      <c r="F89" s="2">
        <v>183.47</v>
      </c>
      <c r="G89" s="2" t="s">
        <v>26</v>
      </c>
      <c r="H89" s="2">
        <v>10</v>
      </c>
      <c r="I89" s="2">
        <v>1834.74</v>
      </c>
      <c r="J89" s="2" t="s">
        <v>18</v>
      </c>
      <c r="K89" s="2" t="s">
        <v>34</v>
      </c>
      <c r="L89" s="2" t="s">
        <v>47</v>
      </c>
      <c r="M89" s="2" t="s">
        <v>153</v>
      </c>
      <c r="N89" s="2" t="s">
        <v>1062</v>
      </c>
      <c r="O89" s="2" t="s">
        <v>1056</v>
      </c>
      <c r="P89" t="s">
        <v>1079</v>
      </c>
      <c r="Q89">
        <v>2025</v>
      </c>
    </row>
    <row r="90" spans="1:17" hidden="1" x14ac:dyDescent="0.25">
      <c r="A90" s="1" t="s">
        <v>214</v>
      </c>
      <c r="B90" s="3">
        <v>45337</v>
      </c>
      <c r="C90" s="1" t="s">
        <v>181</v>
      </c>
      <c r="D90" s="1" t="s">
        <v>31</v>
      </c>
      <c r="E90" s="1" t="s">
        <v>25</v>
      </c>
      <c r="F90" s="2">
        <v>282.52999999999997</v>
      </c>
      <c r="G90" s="2" t="s">
        <v>31</v>
      </c>
      <c r="H90" s="2">
        <v>10</v>
      </c>
      <c r="I90" s="2">
        <v>2825.35</v>
      </c>
      <c r="J90" s="2" t="s">
        <v>63</v>
      </c>
      <c r="K90" s="2" t="s">
        <v>34</v>
      </c>
      <c r="L90" s="2" t="s">
        <v>35</v>
      </c>
      <c r="M90" s="2" t="s">
        <v>52</v>
      </c>
      <c r="N90" s="2" t="s">
        <v>1060</v>
      </c>
      <c r="O90" s="2" t="s">
        <v>1047</v>
      </c>
      <c r="P90" t="s">
        <v>1079</v>
      </c>
      <c r="Q90">
        <v>2024</v>
      </c>
    </row>
    <row r="91" spans="1:17" hidden="1" x14ac:dyDescent="0.25">
      <c r="A91" s="1" t="s">
        <v>215</v>
      </c>
      <c r="B91" s="3">
        <v>45414</v>
      </c>
      <c r="C91" s="1" t="s">
        <v>216</v>
      </c>
      <c r="D91" s="1" t="s">
        <v>55</v>
      </c>
      <c r="E91" s="1" t="s">
        <v>71</v>
      </c>
      <c r="F91" s="2">
        <v>56.2</v>
      </c>
      <c r="G91" s="2" t="s">
        <v>56</v>
      </c>
      <c r="H91" s="2">
        <v>15</v>
      </c>
      <c r="I91" s="2">
        <v>843.07</v>
      </c>
      <c r="J91" s="2" t="s">
        <v>33</v>
      </c>
      <c r="K91" s="2" t="s">
        <v>19</v>
      </c>
      <c r="L91" s="2" t="s">
        <v>20</v>
      </c>
      <c r="M91" s="2" t="s">
        <v>64</v>
      </c>
      <c r="N91" s="2" t="s">
        <v>1057</v>
      </c>
      <c r="O91" s="2" t="s">
        <v>1047</v>
      </c>
      <c r="P91" t="s">
        <v>1079</v>
      </c>
      <c r="Q91">
        <v>2024</v>
      </c>
    </row>
    <row r="92" spans="1:17" x14ac:dyDescent="0.25">
      <c r="A92" s="1" t="s">
        <v>217</v>
      </c>
      <c r="B92" s="3">
        <v>45794</v>
      </c>
      <c r="C92" s="1" t="s">
        <v>204</v>
      </c>
      <c r="D92" s="1" t="s">
        <v>55</v>
      </c>
      <c r="E92" s="1" t="s">
        <v>45</v>
      </c>
      <c r="F92" s="2">
        <v>203.85</v>
      </c>
      <c r="G92" s="2" t="s">
        <v>79</v>
      </c>
      <c r="H92" s="2">
        <v>11</v>
      </c>
      <c r="I92" s="2">
        <v>2242.39</v>
      </c>
      <c r="J92" s="2" t="s">
        <v>18</v>
      </c>
      <c r="K92" s="2" t="s">
        <v>19</v>
      </c>
      <c r="L92" s="2" t="s">
        <v>27</v>
      </c>
      <c r="M92" s="2" t="s">
        <v>59</v>
      </c>
      <c r="N92" s="2" t="s">
        <v>1057</v>
      </c>
      <c r="O92" s="2" t="s">
        <v>1063</v>
      </c>
      <c r="P92" t="s">
        <v>1079</v>
      </c>
      <c r="Q92">
        <v>2025</v>
      </c>
    </row>
    <row r="93" spans="1:17" x14ac:dyDescent="0.25">
      <c r="A93" s="1" t="s">
        <v>218</v>
      </c>
      <c r="B93" s="3">
        <v>45754</v>
      </c>
      <c r="C93" s="1" t="s">
        <v>219</v>
      </c>
      <c r="D93" s="1" t="s">
        <v>24</v>
      </c>
      <c r="E93" s="1" t="s">
        <v>45</v>
      </c>
      <c r="F93" s="2">
        <v>118.93</v>
      </c>
      <c r="G93" s="2" t="s">
        <v>68</v>
      </c>
      <c r="H93" s="2">
        <v>13</v>
      </c>
      <c r="I93" s="2">
        <v>1546.14</v>
      </c>
      <c r="J93" s="2" t="s">
        <v>33</v>
      </c>
      <c r="K93" s="2" t="s">
        <v>19</v>
      </c>
      <c r="L93" s="2" t="s">
        <v>41</v>
      </c>
      <c r="M93" s="2" t="s">
        <v>42</v>
      </c>
      <c r="N93" s="2" t="s">
        <v>1048</v>
      </c>
      <c r="O93" s="2" t="s">
        <v>1056</v>
      </c>
      <c r="P93" t="s">
        <v>1079</v>
      </c>
      <c r="Q93">
        <v>2025</v>
      </c>
    </row>
    <row r="94" spans="1:17" x14ac:dyDescent="0.25">
      <c r="A94" s="1" t="s">
        <v>220</v>
      </c>
      <c r="B94" s="3">
        <v>45955</v>
      </c>
      <c r="C94" s="1" t="s">
        <v>221</v>
      </c>
      <c r="D94" s="1" t="s">
        <v>15</v>
      </c>
      <c r="E94" s="1" t="s">
        <v>25</v>
      </c>
      <c r="F94" s="2">
        <v>366.43</v>
      </c>
      <c r="G94" s="2" t="s">
        <v>82</v>
      </c>
      <c r="H94" s="2">
        <v>14</v>
      </c>
      <c r="I94" s="2">
        <v>5130.0200000000004</v>
      </c>
      <c r="J94" s="2" t="s">
        <v>18</v>
      </c>
      <c r="K94" s="2" t="s">
        <v>19</v>
      </c>
      <c r="L94" s="2" t="s">
        <v>41</v>
      </c>
      <c r="M94" s="2" t="s">
        <v>42</v>
      </c>
      <c r="N94" s="2" t="s">
        <v>1046</v>
      </c>
      <c r="O94" s="2" t="s">
        <v>1063</v>
      </c>
      <c r="P94" t="s">
        <v>1078</v>
      </c>
      <c r="Q94">
        <v>2025</v>
      </c>
    </row>
    <row r="95" spans="1:17" x14ac:dyDescent="0.25">
      <c r="A95" s="1" t="s">
        <v>222</v>
      </c>
      <c r="B95" s="3">
        <v>45681</v>
      </c>
      <c r="C95" s="1" t="s">
        <v>114</v>
      </c>
      <c r="D95" s="1" t="s">
        <v>15</v>
      </c>
      <c r="E95" s="1" t="s">
        <v>16</v>
      </c>
      <c r="F95" s="2">
        <v>215.33</v>
      </c>
      <c r="G95" s="2" t="s">
        <v>51</v>
      </c>
      <c r="H95" s="2">
        <v>6</v>
      </c>
      <c r="I95" s="2">
        <v>1292</v>
      </c>
      <c r="J95" s="2" t="s">
        <v>18</v>
      </c>
      <c r="K95" s="2" t="s">
        <v>34</v>
      </c>
      <c r="L95" s="2" t="s">
        <v>47</v>
      </c>
      <c r="M95" s="2" t="s">
        <v>85</v>
      </c>
      <c r="N95" s="2" t="s">
        <v>1050</v>
      </c>
      <c r="O95" s="2" t="s">
        <v>1058</v>
      </c>
      <c r="P95" t="s">
        <v>1079</v>
      </c>
      <c r="Q95">
        <v>2025</v>
      </c>
    </row>
    <row r="96" spans="1:17" x14ac:dyDescent="0.25">
      <c r="A96" s="1" t="s">
        <v>223</v>
      </c>
      <c r="B96" s="3">
        <v>45671</v>
      </c>
      <c r="C96" s="1" t="s">
        <v>145</v>
      </c>
      <c r="D96" s="1" t="s">
        <v>31</v>
      </c>
      <c r="E96" s="1" t="s">
        <v>25</v>
      </c>
      <c r="F96" s="2">
        <v>361.83</v>
      </c>
      <c r="G96" s="2" t="s">
        <v>46</v>
      </c>
      <c r="H96" s="2">
        <v>7</v>
      </c>
      <c r="I96" s="2">
        <v>2532.8200000000002</v>
      </c>
      <c r="J96" s="2" t="s">
        <v>18</v>
      </c>
      <c r="K96" s="2" t="s">
        <v>34</v>
      </c>
      <c r="L96" s="2" t="s">
        <v>35</v>
      </c>
      <c r="M96" s="2" t="s">
        <v>36</v>
      </c>
      <c r="N96" s="2" t="s">
        <v>1050</v>
      </c>
      <c r="O96" s="2" t="s">
        <v>1053</v>
      </c>
      <c r="P96" t="s">
        <v>1079</v>
      </c>
      <c r="Q96">
        <v>2025</v>
      </c>
    </row>
    <row r="97" spans="1:17" x14ac:dyDescent="0.25">
      <c r="A97" s="1" t="s">
        <v>224</v>
      </c>
      <c r="B97" s="3">
        <v>45708</v>
      </c>
      <c r="C97" s="1" t="s">
        <v>221</v>
      </c>
      <c r="D97" s="1" t="s">
        <v>55</v>
      </c>
      <c r="E97" s="1" t="s">
        <v>25</v>
      </c>
      <c r="F97" s="2">
        <v>382.78</v>
      </c>
      <c r="G97" s="2" t="s">
        <v>79</v>
      </c>
      <c r="H97" s="2">
        <v>9</v>
      </c>
      <c r="I97" s="2">
        <v>3445</v>
      </c>
      <c r="J97" s="2" t="s">
        <v>18</v>
      </c>
      <c r="K97" s="2" t="s">
        <v>19</v>
      </c>
      <c r="L97" s="2" t="s">
        <v>41</v>
      </c>
      <c r="M97" s="2" t="s">
        <v>42</v>
      </c>
      <c r="N97" s="2" t="s">
        <v>1060</v>
      </c>
      <c r="O97" s="2" t="s">
        <v>1047</v>
      </c>
      <c r="P97" t="s">
        <v>1079</v>
      </c>
      <c r="Q97">
        <v>2025</v>
      </c>
    </row>
    <row r="98" spans="1:17" x14ac:dyDescent="0.25">
      <c r="A98" s="1" t="s">
        <v>225</v>
      </c>
      <c r="B98" s="3">
        <v>45773</v>
      </c>
      <c r="C98" s="1" t="s">
        <v>181</v>
      </c>
      <c r="D98" s="1" t="s">
        <v>24</v>
      </c>
      <c r="E98" s="1" t="s">
        <v>67</v>
      </c>
      <c r="F98" s="2">
        <v>23.81</v>
      </c>
      <c r="G98" s="2" t="s">
        <v>170</v>
      </c>
      <c r="H98" s="2">
        <v>75</v>
      </c>
      <c r="I98" s="2">
        <v>1785.84</v>
      </c>
      <c r="J98" s="2" t="s">
        <v>18</v>
      </c>
      <c r="K98" s="2" t="s">
        <v>19</v>
      </c>
      <c r="L98" s="2" t="s">
        <v>20</v>
      </c>
      <c r="M98" s="2" t="s">
        <v>21</v>
      </c>
      <c r="N98" s="2" t="s">
        <v>1048</v>
      </c>
      <c r="O98" s="2" t="s">
        <v>1063</v>
      </c>
      <c r="P98" t="s">
        <v>1079</v>
      </c>
      <c r="Q98">
        <v>2025</v>
      </c>
    </row>
    <row r="99" spans="1:17" hidden="1" x14ac:dyDescent="0.25">
      <c r="A99" s="1" t="s">
        <v>226</v>
      </c>
      <c r="B99" s="3">
        <v>45445</v>
      </c>
      <c r="C99" s="1" t="s">
        <v>139</v>
      </c>
      <c r="D99" s="1" t="s">
        <v>31</v>
      </c>
      <c r="E99" s="1" t="s">
        <v>16</v>
      </c>
      <c r="F99" s="2">
        <v>173.77</v>
      </c>
      <c r="G99" s="2" t="s">
        <v>31</v>
      </c>
      <c r="H99" s="2">
        <v>11</v>
      </c>
      <c r="I99" s="2">
        <v>1911.51</v>
      </c>
      <c r="J99" s="2" t="s">
        <v>18</v>
      </c>
      <c r="K99" s="2" t="s">
        <v>19</v>
      </c>
      <c r="L99" s="2" t="s">
        <v>47</v>
      </c>
      <c r="M99" s="2" t="s">
        <v>48</v>
      </c>
      <c r="N99" s="2" t="s">
        <v>1062</v>
      </c>
      <c r="O99" s="2" t="s">
        <v>1055</v>
      </c>
      <c r="P99" t="s">
        <v>1079</v>
      </c>
      <c r="Q99">
        <v>2024</v>
      </c>
    </row>
    <row r="100" spans="1:17" hidden="1" x14ac:dyDescent="0.25">
      <c r="A100" s="1" t="s">
        <v>227</v>
      </c>
      <c r="B100" s="3">
        <v>45513</v>
      </c>
      <c r="C100" s="1" t="s">
        <v>228</v>
      </c>
      <c r="D100" s="1" t="s">
        <v>31</v>
      </c>
      <c r="E100" s="1" t="s">
        <v>25</v>
      </c>
      <c r="F100" s="2">
        <v>209.58</v>
      </c>
      <c r="G100" s="2" t="s">
        <v>31</v>
      </c>
      <c r="H100" s="2">
        <v>12</v>
      </c>
      <c r="I100" s="2">
        <v>2515</v>
      </c>
      <c r="J100" s="2" t="s">
        <v>18</v>
      </c>
      <c r="K100" s="2" t="s">
        <v>19</v>
      </c>
      <c r="L100" s="2" t="s">
        <v>20</v>
      </c>
      <c r="M100" s="2" t="s">
        <v>88</v>
      </c>
      <c r="N100" s="2" t="s">
        <v>1051</v>
      </c>
      <c r="O100" s="2" t="s">
        <v>1058</v>
      </c>
      <c r="P100" t="s">
        <v>1079</v>
      </c>
      <c r="Q100">
        <v>2024</v>
      </c>
    </row>
    <row r="101" spans="1:17" x14ac:dyDescent="0.25">
      <c r="A101" s="1" t="s">
        <v>229</v>
      </c>
      <c r="B101" s="3">
        <v>45872</v>
      </c>
      <c r="C101" s="1" t="s">
        <v>207</v>
      </c>
      <c r="D101" s="1" t="s">
        <v>15</v>
      </c>
      <c r="E101" s="1" t="s">
        <v>67</v>
      </c>
      <c r="F101" s="2">
        <v>119.44</v>
      </c>
      <c r="G101" s="2" t="s">
        <v>51</v>
      </c>
      <c r="H101" s="2">
        <v>14</v>
      </c>
      <c r="I101" s="2">
        <v>1672.13</v>
      </c>
      <c r="J101" s="2" t="s">
        <v>18</v>
      </c>
      <c r="K101" s="2" t="s">
        <v>19</v>
      </c>
      <c r="L101" s="2" t="s">
        <v>20</v>
      </c>
      <c r="M101" s="2" t="s">
        <v>21</v>
      </c>
      <c r="N101" s="2" t="s">
        <v>1051</v>
      </c>
      <c r="O101" s="2" t="s">
        <v>1055</v>
      </c>
      <c r="P101" t="s">
        <v>1079</v>
      </c>
      <c r="Q101">
        <v>2025</v>
      </c>
    </row>
    <row r="102" spans="1:17" hidden="1" x14ac:dyDescent="0.25">
      <c r="A102" s="1" t="s">
        <v>230</v>
      </c>
      <c r="B102" s="3">
        <v>45639</v>
      </c>
      <c r="C102" s="1" t="s">
        <v>110</v>
      </c>
      <c r="D102" s="1" t="s">
        <v>55</v>
      </c>
      <c r="E102" s="1" t="s">
        <v>25</v>
      </c>
      <c r="F102" s="2">
        <v>125.68</v>
      </c>
      <c r="G102" s="2" t="s">
        <v>90</v>
      </c>
      <c r="H102" s="2">
        <v>10</v>
      </c>
      <c r="I102" s="2">
        <v>1256.8399999999999</v>
      </c>
      <c r="J102" s="2" t="s">
        <v>18</v>
      </c>
      <c r="K102" s="2" t="s">
        <v>34</v>
      </c>
      <c r="L102" s="2" t="s">
        <v>47</v>
      </c>
      <c r="M102" s="2" t="s">
        <v>48</v>
      </c>
      <c r="N102" s="2" t="s">
        <v>1061</v>
      </c>
      <c r="O102" s="2" t="s">
        <v>1058</v>
      </c>
      <c r="P102" t="s">
        <v>1079</v>
      </c>
      <c r="Q102">
        <v>2024</v>
      </c>
    </row>
    <row r="103" spans="1:17" hidden="1" x14ac:dyDescent="0.25">
      <c r="A103" s="1" t="s">
        <v>231</v>
      </c>
      <c r="B103" s="3">
        <v>45591</v>
      </c>
      <c r="C103" s="1" t="s">
        <v>30</v>
      </c>
      <c r="D103" s="1" t="s">
        <v>15</v>
      </c>
      <c r="E103" s="1" t="s">
        <v>71</v>
      </c>
      <c r="F103" s="2">
        <v>185.17</v>
      </c>
      <c r="G103" s="2" t="s">
        <v>17</v>
      </c>
      <c r="H103" s="2">
        <v>7</v>
      </c>
      <c r="I103" s="2">
        <v>1296.19</v>
      </c>
      <c r="J103" s="2" t="s">
        <v>18</v>
      </c>
      <c r="K103" s="2" t="s">
        <v>34</v>
      </c>
      <c r="L103" s="2" t="s">
        <v>41</v>
      </c>
      <c r="M103" s="2" t="s">
        <v>141</v>
      </c>
      <c r="N103" s="2" t="s">
        <v>1046</v>
      </c>
      <c r="O103" s="2" t="s">
        <v>1063</v>
      </c>
      <c r="P103" t="s">
        <v>1079</v>
      </c>
      <c r="Q103">
        <v>2024</v>
      </c>
    </row>
    <row r="104" spans="1:17" x14ac:dyDescent="0.25">
      <c r="A104" s="1" t="s">
        <v>232</v>
      </c>
      <c r="B104" s="3">
        <v>45804</v>
      </c>
      <c r="C104" s="1" t="s">
        <v>97</v>
      </c>
      <c r="D104" s="1" t="s">
        <v>15</v>
      </c>
      <c r="E104" s="1" t="s">
        <v>67</v>
      </c>
      <c r="F104" s="2">
        <v>76.03</v>
      </c>
      <c r="G104" s="2" t="s">
        <v>51</v>
      </c>
      <c r="H104" s="2">
        <v>19</v>
      </c>
      <c r="I104" s="2">
        <v>1444.64</v>
      </c>
      <c r="J104" s="2" t="s">
        <v>18</v>
      </c>
      <c r="K104" s="2" t="s">
        <v>19</v>
      </c>
      <c r="L104" s="2" t="s">
        <v>20</v>
      </c>
      <c r="M104" s="2" t="s">
        <v>21</v>
      </c>
      <c r="N104" s="2" t="s">
        <v>1057</v>
      </c>
      <c r="O104" s="2" t="s">
        <v>1053</v>
      </c>
      <c r="P104" t="s">
        <v>1079</v>
      </c>
      <c r="Q104">
        <v>2025</v>
      </c>
    </row>
    <row r="105" spans="1:17" x14ac:dyDescent="0.25">
      <c r="A105" s="1" t="s">
        <v>233</v>
      </c>
      <c r="B105" s="3">
        <v>45852</v>
      </c>
      <c r="C105" s="1" t="s">
        <v>228</v>
      </c>
      <c r="D105" s="1" t="s">
        <v>15</v>
      </c>
      <c r="E105" s="1" t="s">
        <v>67</v>
      </c>
      <c r="F105" s="2">
        <v>63.71</v>
      </c>
      <c r="G105" s="2" t="s">
        <v>17</v>
      </c>
      <c r="H105" s="2">
        <v>18</v>
      </c>
      <c r="I105" s="2">
        <v>1146.8</v>
      </c>
      <c r="J105" s="2" t="s">
        <v>63</v>
      </c>
      <c r="K105" s="2" t="s">
        <v>19</v>
      </c>
      <c r="L105" s="2" t="s">
        <v>41</v>
      </c>
      <c r="M105" s="2" t="s">
        <v>141</v>
      </c>
      <c r="N105" s="2" t="s">
        <v>1052</v>
      </c>
      <c r="O105" s="2" t="s">
        <v>1056</v>
      </c>
      <c r="P105" t="s">
        <v>1079</v>
      </c>
      <c r="Q105">
        <v>2025</v>
      </c>
    </row>
    <row r="106" spans="1:17" hidden="1" x14ac:dyDescent="0.25">
      <c r="A106" s="1" t="s">
        <v>234</v>
      </c>
      <c r="B106" s="3">
        <v>45405</v>
      </c>
      <c r="C106" s="1" t="s">
        <v>235</v>
      </c>
      <c r="D106" s="1" t="s">
        <v>24</v>
      </c>
      <c r="E106" s="1" t="s">
        <v>25</v>
      </c>
      <c r="F106" s="2">
        <v>174.62</v>
      </c>
      <c r="G106" s="2" t="s">
        <v>26</v>
      </c>
      <c r="H106" s="2">
        <v>13</v>
      </c>
      <c r="I106" s="2">
        <v>2270</v>
      </c>
      <c r="J106" s="2" t="s">
        <v>18</v>
      </c>
      <c r="K106" s="2" t="s">
        <v>19</v>
      </c>
      <c r="L106" s="2" t="s">
        <v>35</v>
      </c>
      <c r="M106" s="2" t="s">
        <v>36</v>
      </c>
      <c r="N106" s="2" t="s">
        <v>1048</v>
      </c>
      <c r="O106" s="2" t="s">
        <v>1053</v>
      </c>
      <c r="P106" t="s">
        <v>1079</v>
      </c>
      <c r="Q106">
        <v>2024</v>
      </c>
    </row>
    <row r="107" spans="1:17" hidden="1" x14ac:dyDescent="0.25">
      <c r="A107" s="1" t="s">
        <v>236</v>
      </c>
      <c r="B107" s="3">
        <v>45558</v>
      </c>
      <c r="C107" s="1" t="s">
        <v>237</v>
      </c>
      <c r="D107" s="1" t="s">
        <v>39</v>
      </c>
      <c r="E107" s="1" t="s">
        <v>45</v>
      </c>
      <c r="F107" s="2">
        <v>142.41</v>
      </c>
      <c r="G107" s="2" t="s">
        <v>93</v>
      </c>
      <c r="H107" s="2">
        <v>13</v>
      </c>
      <c r="I107" s="2">
        <v>1851.37</v>
      </c>
      <c r="J107" s="2" t="s">
        <v>18</v>
      </c>
      <c r="K107" s="2" t="s">
        <v>19</v>
      </c>
      <c r="L107" s="2" t="s">
        <v>47</v>
      </c>
      <c r="M107" s="2" t="s">
        <v>153</v>
      </c>
      <c r="N107" s="2" t="s">
        <v>1049</v>
      </c>
      <c r="O107" s="2" t="s">
        <v>1056</v>
      </c>
      <c r="P107" t="s">
        <v>1079</v>
      </c>
      <c r="Q107">
        <v>2024</v>
      </c>
    </row>
    <row r="108" spans="1:17" x14ac:dyDescent="0.25">
      <c r="A108" s="1" t="s">
        <v>238</v>
      </c>
      <c r="B108" s="3">
        <v>45860</v>
      </c>
      <c r="C108" s="1" t="s">
        <v>156</v>
      </c>
      <c r="D108" s="1" t="s">
        <v>31</v>
      </c>
      <c r="E108" s="1" t="s">
        <v>45</v>
      </c>
      <c r="F108" s="2">
        <v>124.46</v>
      </c>
      <c r="G108" s="2" t="s">
        <v>31</v>
      </c>
      <c r="H108" s="2">
        <v>11</v>
      </c>
      <c r="I108" s="2">
        <v>1369.03</v>
      </c>
      <c r="J108" s="2" t="s">
        <v>33</v>
      </c>
      <c r="K108" s="2" t="s">
        <v>19</v>
      </c>
      <c r="L108" s="2" t="s">
        <v>41</v>
      </c>
      <c r="M108" s="2" t="s">
        <v>42</v>
      </c>
      <c r="N108" s="2" t="s">
        <v>1052</v>
      </c>
      <c r="O108" s="2" t="s">
        <v>1053</v>
      </c>
      <c r="P108" t="s">
        <v>1079</v>
      </c>
      <c r="Q108">
        <v>2025</v>
      </c>
    </row>
    <row r="109" spans="1:17" hidden="1" x14ac:dyDescent="0.25">
      <c r="A109" s="1" t="s">
        <v>239</v>
      </c>
      <c r="B109" s="3">
        <v>45644</v>
      </c>
      <c r="C109" s="1" t="s">
        <v>240</v>
      </c>
      <c r="D109" s="1" t="s">
        <v>39</v>
      </c>
      <c r="E109" s="1" t="s">
        <v>25</v>
      </c>
      <c r="F109" s="2">
        <v>151.94999999999999</v>
      </c>
      <c r="G109" s="2" t="s">
        <v>72</v>
      </c>
      <c r="H109" s="2">
        <v>10</v>
      </c>
      <c r="I109" s="2">
        <v>1519.55</v>
      </c>
      <c r="J109" s="2" t="s">
        <v>18</v>
      </c>
      <c r="K109" s="2" t="s">
        <v>34</v>
      </c>
      <c r="L109" s="2" t="s">
        <v>35</v>
      </c>
      <c r="M109" s="2" t="s">
        <v>36</v>
      </c>
      <c r="N109" s="2" t="s">
        <v>1061</v>
      </c>
      <c r="O109" s="2" t="s">
        <v>1059</v>
      </c>
      <c r="P109" t="s">
        <v>1079</v>
      </c>
      <c r="Q109">
        <v>2024</v>
      </c>
    </row>
    <row r="110" spans="1:17" x14ac:dyDescent="0.25">
      <c r="A110" s="1" t="s">
        <v>241</v>
      </c>
      <c r="B110" s="3">
        <v>45806</v>
      </c>
      <c r="C110" s="1" t="s">
        <v>242</v>
      </c>
      <c r="D110" s="1" t="s">
        <v>15</v>
      </c>
      <c r="E110" s="1" t="s">
        <v>16</v>
      </c>
      <c r="F110" s="2">
        <v>326.48</v>
      </c>
      <c r="G110" s="2" t="s">
        <v>17</v>
      </c>
      <c r="H110" s="2">
        <v>9</v>
      </c>
      <c r="I110" s="2">
        <v>2938.32</v>
      </c>
      <c r="J110" s="2" t="s">
        <v>33</v>
      </c>
      <c r="K110" s="2" t="s">
        <v>34</v>
      </c>
      <c r="L110" s="2" t="s">
        <v>41</v>
      </c>
      <c r="M110" s="2" t="s">
        <v>42</v>
      </c>
      <c r="N110" s="2" t="s">
        <v>1057</v>
      </c>
      <c r="O110" s="2" t="s">
        <v>1047</v>
      </c>
      <c r="P110" t="s">
        <v>1079</v>
      </c>
      <c r="Q110">
        <v>2025</v>
      </c>
    </row>
    <row r="111" spans="1:17" hidden="1" x14ac:dyDescent="0.25">
      <c r="A111" s="1" t="s">
        <v>243</v>
      </c>
      <c r="B111" s="3">
        <v>45482</v>
      </c>
      <c r="C111" s="1" t="s">
        <v>235</v>
      </c>
      <c r="D111" s="1" t="s">
        <v>55</v>
      </c>
      <c r="E111" s="1" t="s">
        <v>25</v>
      </c>
      <c r="F111" s="2">
        <v>121.67</v>
      </c>
      <c r="G111" s="2" t="s">
        <v>148</v>
      </c>
      <c r="H111" s="2">
        <v>10</v>
      </c>
      <c r="I111" s="2">
        <v>1216.7</v>
      </c>
      <c r="J111" s="2" t="s">
        <v>33</v>
      </c>
      <c r="K111" s="2" t="s">
        <v>34</v>
      </c>
      <c r="L111" s="2" t="s">
        <v>27</v>
      </c>
      <c r="M111" s="2" t="s">
        <v>28</v>
      </c>
      <c r="N111" s="2" t="s">
        <v>1052</v>
      </c>
      <c r="O111" s="2" t="s">
        <v>1053</v>
      </c>
      <c r="P111" t="s">
        <v>1079</v>
      </c>
      <c r="Q111">
        <v>2024</v>
      </c>
    </row>
    <row r="112" spans="1:17" hidden="1" x14ac:dyDescent="0.25">
      <c r="A112" s="1" t="s">
        <v>244</v>
      </c>
      <c r="B112" s="3">
        <v>45599</v>
      </c>
      <c r="C112" s="1" t="s">
        <v>190</v>
      </c>
      <c r="D112" s="1" t="s">
        <v>39</v>
      </c>
      <c r="E112" s="1" t="s">
        <v>67</v>
      </c>
      <c r="F112" s="2">
        <v>85.65</v>
      </c>
      <c r="G112" s="2" t="s">
        <v>136</v>
      </c>
      <c r="H112" s="2">
        <v>18</v>
      </c>
      <c r="I112" s="2">
        <v>1541.69</v>
      </c>
      <c r="J112" s="2" t="s">
        <v>63</v>
      </c>
      <c r="K112" s="2" t="s">
        <v>19</v>
      </c>
      <c r="L112" s="2" t="s">
        <v>35</v>
      </c>
      <c r="M112" s="2" t="s">
        <v>36</v>
      </c>
      <c r="N112" s="2" t="s">
        <v>1064</v>
      </c>
      <c r="O112" s="2" t="s">
        <v>1055</v>
      </c>
      <c r="P112" t="s">
        <v>1079</v>
      </c>
      <c r="Q112">
        <v>2024</v>
      </c>
    </row>
    <row r="113" spans="1:17" hidden="1" x14ac:dyDescent="0.25">
      <c r="A113" s="1" t="s">
        <v>245</v>
      </c>
      <c r="B113" s="3">
        <v>45326</v>
      </c>
      <c r="C113" s="1" t="s">
        <v>216</v>
      </c>
      <c r="D113" s="1" t="s">
        <v>39</v>
      </c>
      <c r="E113" s="1" t="s">
        <v>16</v>
      </c>
      <c r="F113" s="2">
        <v>67.599999999999994</v>
      </c>
      <c r="G113" s="2" t="s">
        <v>93</v>
      </c>
      <c r="H113" s="2">
        <v>14</v>
      </c>
      <c r="I113" s="2">
        <v>946.35</v>
      </c>
      <c r="J113" s="2" t="s">
        <v>18</v>
      </c>
      <c r="K113" s="2" t="s">
        <v>19</v>
      </c>
      <c r="L113" s="2" t="s">
        <v>41</v>
      </c>
      <c r="M113" s="2" t="s">
        <v>76</v>
      </c>
      <c r="N113" s="2" t="s">
        <v>1060</v>
      </c>
      <c r="O113" s="2" t="s">
        <v>1055</v>
      </c>
      <c r="P113" t="s">
        <v>1079</v>
      </c>
      <c r="Q113">
        <v>2024</v>
      </c>
    </row>
    <row r="114" spans="1:17" hidden="1" x14ac:dyDescent="0.25">
      <c r="A114" s="1" t="s">
        <v>246</v>
      </c>
      <c r="B114" s="3">
        <v>45363</v>
      </c>
      <c r="C114" s="1" t="s">
        <v>152</v>
      </c>
      <c r="D114" s="1" t="s">
        <v>39</v>
      </c>
      <c r="E114" s="1" t="s">
        <v>67</v>
      </c>
      <c r="F114" s="2">
        <v>263.31</v>
      </c>
      <c r="G114" s="2" t="s">
        <v>40</v>
      </c>
      <c r="H114" s="2">
        <v>13</v>
      </c>
      <c r="I114" s="2">
        <v>3423</v>
      </c>
      <c r="J114" s="2" t="s">
        <v>18</v>
      </c>
      <c r="K114" s="2" t="s">
        <v>19</v>
      </c>
      <c r="L114" s="2" t="s">
        <v>27</v>
      </c>
      <c r="M114" s="2" t="s">
        <v>59</v>
      </c>
      <c r="N114" s="2" t="s">
        <v>1054</v>
      </c>
      <c r="O114" s="2" t="s">
        <v>1053</v>
      </c>
      <c r="P114" t="s">
        <v>1079</v>
      </c>
      <c r="Q114">
        <v>2024</v>
      </c>
    </row>
    <row r="115" spans="1:17" x14ac:dyDescent="0.25">
      <c r="A115" s="1" t="s">
        <v>247</v>
      </c>
      <c r="B115" s="3">
        <v>45698</v>
      </c>
      <c r="C115" s="1" t="s">
        <v>248</v>
      </c>
      <c r="D115" s="1" t="s">
        <v>55</v>
      </c>
      <c r="E115" s="1" t="s">
        <v>16</v>
      </c>
      <c r="F115" s="2">
        <v>132.25</v>
      </c>
      <c r="G115" s="2" t="s">
        <v>90</v>
      </c>
      <c r="H115" s="2">
        <v>12</v>
      </c>
      <c r="I115" s="2">
        <v>1587.06</v>
      </c>
      <c r="J115" s="2" t="s">
        <v>63</v>
      </c>
      <c r="K115" s="2" t="s">
        <v>19</v>
      </c>
      <c r="L115" s="2" t="s">
        <v>47</v>
      </c>
      <c r="M115" s="2" t="s">
        <v>48</v>
      </c>
      <c r="N115" s="2" t="s">
        <v>1060</v>
      </c>
      <c r="O115" s="2" t="s">
        <v>1056</v>
      </c>
      <c r="P115" t="s">
        <v>1079</v>
      </c>
      <c r="Q115">
        <v>2025</v>
      </c>
    </row>
    <row r="116" spans="1:17" x14ac:dyDescent="0.25">
      <c r="A116" s="1" t="s">
        <v>249</v>
      </c>
      <c r="B116" s="3">
        <v>45911</v>
      </c>
      <c r="C116" s="1" t="s">
        <v>66</v>
      </c>
      <c r="D116" s="1" t="s">
        <v>39</v>
      </c>
      <c r="E116" s="1" t="s">
        <v>16</v>
      </c>
      <c r="F116" s="2">
        <v>99.42</v>
      </c>
      <c r="G116" s="2" t="s">
        <v>40</v>
      </c>
      <c r="H116" s="2">
        <v>12</v>
      </c>
      <c r="I116" s="2">
        <v>1193</v>
      </c>
      <c r="J116" s="2" t="s">
        <v>63</v>
      </c>
      <c r="K116" s="2" t="s">
        <v>19</v>
      </c>
      <c r="L116" s="2" t="s">
        <v>20</v>
      </c>
      <c r="M116" s="2" t="s">
        <v>64</v>
      </c>
      <c r="N116" s="2" t="s">
        <v>1049</v>
      </c>
      <c r="O116" s="2" t="s">
        <v>1047</v>
      </c>
      <c r="P116" t="s">
        <v>1079</v>
      </c>
      <c r="Q116">
        <v>2025</v>
      </c>
    </row>
    <row r="117" spans="1:17" hidden="1" x14ac:dyDescent="0.25">
      <c r="A117" s="1" t="s">
        <v>250</v>
      </c>
      <c r="B117" s="3">
        <v>45627</v>
      </c>
      <c r="C117" s="1" t="s">
        <v>95</v>
      </c>
      <c r="D117" s="1" t="s">
        <v>55</v>
      </c>
      <c r="E117" s="1" t="s">
        <v>16</v>
      </c>
      <c r="F117" s="2">
        <v>97.51</v>
      </c>
      <c r="G117" s="2" t="s">
        <v>148</v>
      </c>
      <c r="H117" s="2">
        <v>9</v>
      </c>
      <c r="I117" s="2">
        <v>877.58</v>
      </c>
      <c r="J117" s="2" t="s">
        <v>33</v>
      </c>
      <c r="K117" s="2" t="s">
        <v>34</v>
      </c>
      <c r="L117" s="2" t="s">
        <v>47</v>
      </c>
      <c r="M117" s="2" t="s">
        <v>85</v>
      </c>
      <c r="N117" s="2" t="s">
        <v>1061</v>
      </c>
      <c r="O117" s="2" t="s">
        <v>1055</v>
      </c>
      <c r="P117" t="s">
        <v>1079</v>
      </c>
      <c r="Q117">
        <v>2024</v>
      </c>
    </row>
    <row r="118" spans="1:17" hidden="1" x14ac:dyDescent="0.25">
      <c r="A118" s="1" t="s">
        <v>251</v>
      </c>
      <c r="B118" s="3">
        <v>45573</v>
      </c>
      <c r="C118" s="1" t="s">
        <v>135</v>
      </c>
      <c r="D118" s="1" t="s">
        <v>39</v>
      </c>
      <c r="E118" s="1" t="s">
        <v>45</v>
      </c>
      <c r="F118" s="2">
        <v>340.67</v>
      </c>
      <c r="G118" s="2" t="s">
        <v>72</v>
      </c>
      <c r="H118" s="2">
        <v>9</v>
      </c>
      <c r="I118" s="2">
        <v>3066</v>
      </c>
      <c r="J118" s="2" t="s">
        <v>18</v>
      </c>
      <c r="K118" s="2" t="s">
        <v>19</v>
      </c>
      <c r="L118" s="2" t="s">
        <v>41</v>
      </c>
      <c r="M118" s="2" t="s">
        <v>42</v>
      </c>
      <c r="N118" s="2" t="s">
        <v>1046</v>
      </c>
      <c r="O118" s="2" t="s">
        <v>1053</v>
      </c>
      <c r="P118" t="s">
        <v>1079</v>
      </c>
      <c r="Q118">
        <v>2024</v>
      </c>
    </row>
    <row r="119" spans="1:17" x14ac:dyDescent="0.25">
      <c r="A119" s="1" t="s">
        <v>252</v>
      </c>
      <c r="B119" s="3">
        <v>45684</v>
      </c>
      <c r="C119" s="1" t="s">
        <v>228</v>
      </c>
      <c r="D119" s="1" t="s">
        <v>15</v>
      </c>
      <c r="E119" s="1" t="s">
        <v>16</v>
      </c>
      <c r="F119" s="2">
        <v>181.91</v>
      </c>
      <c r="G119" s="2" t="s">
        <v>62</v>
      </c>
      <c r="H119" s="2">
        <v>8</v>
      </c>
      <c r="I119" s="2">
        <v>1455.24</v>
      </c>
      <c r="J119" s="2" t="s">
        <v>18</v>
      </c>
      <c r="K119" s="2" t="s">
        <v>34</v>
      </c>
      <c r="L119" s="2" t="s">
        <v>27</v>
      </c>
      <c r="M119" s="2" t="s">
        <v>59</v>
      </c>
      <c r="N119" s="2" t="s">
        <v>1050</v>
      </c>
      <c r="O119" s="2" t="s">
        <v>1056</v>
      </c>
      <c r="P119" t="s">
        <v>1079</v>
      </c>
      <c r="Q119">
        <v>2025</v>
      </c>
    </row>
    <row r="120" spans="1:17" x14ac:dyDescent="0.25">
      <c r="A120" s="1" t="s">
        <v>253</v>
      </c>
      <c r="B120" s="3">
        <v>45936</v>
      </c>
      <c r="C120" s="1" t="s">
        <v>254</v>
      </c>
      <c r="D120" s="1" t="s">
        <v>39</v>
      </c>
      <c r="E120" s="1" t="s">
        <v>45</v>
      </c>
      <c r="F120" s="2">
        <v>168.34</v>
      </c>
      <c r="G120" s="2" t="s">
        <v>72</v>
      </c>
      <c r="H120" s="2">
        <v>8</v>
      </c>
      <c r="I120" s="2">
        <v>1346.68</v>
      </c>
      <c r="J120" s="2" t="s">
        <v>18</v>
      </c>
      <c r="K120" s="2" t="s">
        <v>34</v>
      </c>
      <c r="L120" s="2" t="s">
        <v>20</v>
      </c>
      <c r="M120" s="2" t="s">
        <v>21</v>
      </c>
      <c r="N120" s="2" t="s">
        <v>1046</v>
      </c>
      <c r="O120" s="2" t="s">
        <v>1056</v>
      </c>
      <c r="P120" t="s">
        <v>1079</v>
      </c>
      <c r="Q120">
        <v>2025</v>
      </c>
    </row>
    <row r="121" spans="1:17" x14ac:dyDescent="0.25">
      <c r="A121" s="1" t="s">
        <v>255</v>
      </c>
      <c r="B121" s="3">
        <v>45851</v>
      </c>
      <c r="C121" s="1" t="s">
        <v>256</v>
      </c>
      <c r="D121" s="1" t="s">
        <v>55</v>
      </c>
      <c r="E121" s="1" t="s">
        <v>71</v>
      </c>
      <c r="F121" s="2">
        <v>80.64</v>
      </c>
      <c r="G121" s="2" t="s">
        <v>56</v>
      </c>
      <c r="H121" s="2">
        <v>14</v>
      </c>
      <c r="I121" s="2">
        <v>1129</v>
      </c>
      <c r="J121" s="2" t="s">
        <v>18</v>
      </c>
      <c r="K121" s="2" t="s">
        <v>19</v>
      </c>
      <c r="L121" s="2" t="s">
        <v>41</v>
      </c>
      <c r="M121" s="2" t="s">
        <v>42</v>
      </c>
      <c r="N121" s="2" t="s">
        <v>1052</v>
      </c>
      <c r="O121" s="2" t="s">
        <v>1055</v>
      </c>
      <c r="P121" t="s">
        <v>1079</v>
      </c>
      <c r="Q121">
        <v>2025</v>
      </c>
    </row>
    <row r="122" spans="1:17" x14ac:dyDescent="0.25">
      <c r="A122" s="1" t="s">
        <v>257</v>
      </c>
      <c r="B122" s="3">
        <v>45747</v>
      </c>
      <c r="C122" s="1" t="s">
        <v>258</v>
      </c>
      <c r="D122" s="1" t="s">
        <v>55</v>
      </c>
      <c r="E122" s="1" t="s">
        <v>45</v>
      </c>
      <c r="F122" s="2">
        <v>145.13</v>
      </c>
      <c r="G122" s="2" t="s">
        <v>90</v>
      </c>
      <c r="H122" s="2">
        <v>12</v>
      </c>
      <c r="I122" s="2">
        <v>1741.52</v>
      </c>
      <c r="J122" s="2" t="s">
        <v>33</v>
      </c>
      <c r="K122" s="2" t="s">
        <v>19</v>
      </c>
      <c r="L122" s="2" t="s">
        <v>41</v>
      </c>
      <c r="M122" s="2" t="s">
        <v>141</v>
      </c>
      <c r="N122" s="2" t="s">
        <v>1054</v>
      </c>
      <c r="O122" s="2" t="s">
        <v>1056</v>
      </c>
      <c r="P122" t="s">
        <v>1079</v>
      </c>
      <c r="Q122">
        <v>2025</v>
      </c>
    </row>
    <row r="123" spans="1:17" x14ac:dyDescent="0.25">
      <c r="A123" s="1" t="s">
        <v>259</v>
      </c>
      <c r="B123" s="3">
        <v>45846</v>
      </c>
      <c r="C123" s="1" t="s">
        <v>78</v>
      </c>
      <c r="D123" s="1" t="s">
        <v>55</v>
      </c>
      <c r="E123" s="1" t="s">
        <v>25</v>
      </c>
      <c r="F123" s="2">
        <v>312.16000000000003</v>
      </c>
      <c r="G123" s="2" t="s">
        <v>148</v>
      </c>
      <c r="H123" s="2">
        <v>14</v>
      </c>
      <c r="I123" s="2">
        <v>4370.17</v>
      </c>
      <c r="J123" s="2" t="s">
        <v>63</v>
      </c>
      <c r="K123" s="2" t="s">
        <v>19</v>
      </c>
      <c r="L123" s="2" t="s">
        <v>20</v>
      </c>
      <c r="M123" s="2" t="s">
        <v>64</v>
      </c>
      <c r="N123" s="2" t="s">
        <v>1052</v>
      </c>
      <c r="O123" s="2" t="s">
        <v>1053</v>
      </c>
      <c r="P123" t="s">
        <v>1078</v>
      </c>
      <c r="Q123">
        <v>2025</v>
      </c>
    </row>
    <row r="124" spans="1:17" hidden="1" x14ac:dyDescent="0.25">
      <c r="A124" s="1" t="s">
        <v>260</v>
      </c>
      <c r="B124" s="3">
        <v>45538</v>
      </c>
      <c r="C124" s="1" t="s">
        <v>169</v>
      </c>
      <c r="D124" s="1" t="s">
        <v>24</v>
      </c>
      <c r="E124" s="1" t="s">
        <v>25</v>
      </c>
      <c r="F124" s="2">
        <v>134.28</v>
      </c>
      <c r="G124" s="2" t="s">
        <v>68</v>
      </c>
      <c r="H124" s="2">
        <v>13</v>
      </c>
      <c r="I124" s="2">
        <v>1745.58</v>
      </c>
      <c r="J124" s="2" t="s">
        <v>18</v>
      </c>
      <c r="K124" s="2" t="s">
        <v>19</v>
      </c>
      <c r="L124" s="2" t="s">
        <v>27</v>
      </c>
      <c r="M124" s="2" t="s">
        <v>28</v>
      </c>
      <c r="N124" s="2" t="s">
        <v>1049</v>
      </c>
      <c r="O124" s="2" t="s">
        <v>1053</v>
      </c>
      <c r="P124" t="s">
        <v>1079</v>
      </c>
      <c r="Q124">
        <v>2024</v>
      </c>
    </row>
    <row r="125" spans="1:17" hidden="1" x14ac:dyDescent="0.25">
      <c r="A125" s="1" t="s">
        <v>261</v>
      </c>
      <c r="B125" s="3">
        <v>45513</v>
      </c>
      <c r="C125" s="1" t="s">
        <v>135</v>
      </c>
      <c r="D125" s="1" t="s">
        <v>15</v>
      </c>
      <c r="E125" s="1" t="s">
        <v>25</v>
      </c>
      <c r="F125" s="2">
        <v>79.430000000000007</v>
      </c>
      <c r="G125" s="2" t="s">
        <v>17</v>
      </c>
      <c r="H125" s="2">
        <v>16</v>
      </c>
      <c r="I125" s="2">
        <v>1270.95</v>
      </c>
      <c r="J125" s="2" t="s">
        <v>63</v>
      </c>
      <c r="K125" s="2" t="s">
        <v>19</v>
      </c>
      <c r="L125" s="2" t="s">
        <v>27</v>
      </c>
      <c r="M125" s="2" t="s">
        <v>28</v>
      </c>
      <c r="N125" s="2" t="s">
        <v>1051</v>
      </c>
      <c r="O125" s="2" t="s">
        <v>1058</v>
      </c>
      <c r="P125" t="s">
        <v>1079</v>
      </c>
      <c r="Q125">
        <v>2024</v>
      </c>
    </row>
    <row r="126" spans="1:17" x14ac:dyDescent="0.25">
      <c r="A126" s="1" t="s">
        <v>262</v>
      </c>
      <c r="B126" s="3">
        <v>45671</v>
      </c>
      <c r="C126" s="1" t="s">
        <v>256</v>
      </c>
      <c r="D126" s="1" t="s">
        <v>39</v>
      </c>
      <c r="E126" s="1" t="s">
        <v>67</v>
      </c>
      <c r="F126" s="2">
        <v>169.82</v>
      </c>
      <c r="G126" s="2" t="s">
        <v>72</v>
      </c>
      <c r="H126" s="2">
        <v>8</v>
      </c>
      <c r="I126" s="2">
        <v>1358.54</v>
      </c>
      <c r="J126" s="2" t="s">
        <v>63</v>
      </c>
      <c r="K126" s="2" t="s">
        <v>34</v>
      </c>
      <c r="L126" s="2" t="s">
        <v>27</v>
      </c>
      <c r="M126" s="2" t="s">
        <v>28</v>
      </c>
      <c r="N126" s="2" t="s">
        <v>1050</v>
      </c>
      <c r="O126" s="2" t="s">
        <v>1053</v>
      </c>
      <c r="P126" t="s">
        <v>1079</v>
      </c>
      <c r="Q126">
        <v>2025</v>
      </c>
    </row>
    <row r="127" spans="1:17" hidden="1" x14ac:dyDescent="0.25">
      <c r="A127" s="1" t="s">
        <v>263</v>
      </c>
      <c r="B127" s="3">
        <v>45425</v>
      </c>
      <c r="C127" s="1" t="s">
        <v>264</v>
      </c>
      <c r="D127" s="1" t="s">
        <v>15</v>
      </c>
      <c r="E127" s="1" t="s">
        <v>67</v>
      </c>
      <c r="F127" s="2">
        <v>404.52</v>
      </c>
      <c r="G127" s="2" t="s">
        <v>17</v>
      </c>
      <c r="H127" s="2">
        <v>9</v>
      </c>
      <c r="I127" s="2">
        <v>3640.7</v>
      </c>
      <c r="J127" s="2" t="s">
        <v>18</v>
      </c>
      <c r="K127" s="2" t="s">
        <v>19</v>
      </c>
      <c r="L127" s="2" t="s">
        <v>20</v>
      </c>
      <c r="M127" s="2" t="s">
        <v>21</v>
      </c>
      <c r="N127" s="2" t="s">
        <v>1057</v>
      </c>
      <c r="O127" s="2" t="s">
        <v>1056</v>
      </c>
      <c r="P127" t="s">
        <v>1079</v>
      </c>
      <c r="Q127">
        <v>2024</v>
      </c>
    </row>
    <row r="128" spans="1:17" x14ac:dyDescent="0.25">
      <c r="A128" s="1" t="s">
        <v>265</v>
      </c>
      <c r="B128" s="3">
        <v>45692</v>
      </c>
      <c r="C128" s="1" t="s">
        <v>266</v>
      </c>
      <c r="D128" s="1" t="s">
        <v>31</v>
      </c>
      <c r="E128" s="1" t="s">
        <v>45</v>
      </c>
      <c r="F128" s="2">
        <v>99.57</v>
      </c>
      <c r="G128" s="2" t="s">
        <v>98</v>
      </c>
      <c r="H128" s="2">
        <v>14</v>
      </c>
      <c r="I128" s="2">
        <v>1393.92</v>
      </c>
      <c r="J128" s="2" t="s">
        <v>18</v>
      </c>
      <c r="K128" s="2" t="s">
        <v>19</v>
      </c>
      <c r="L128" s="2" t="s">
        <v>47</v>
      </c>
      <c r="M128" s="2" t="s">
        <v>153</v>
      </c>
      <c r="N128" s="2" t="s">
        <v>1060</v>
      </c>
      <c r="O128" s="2" t="s">
        <v>1053</v>
      </c>
      <c r="P128" t="s">
        <v>1079</v>
      </c>
      <c r="Q128">
        <v>2025</v>
      </c>
    </row>
    <row r="129" spans="1:17" x14ac:dyDescent="0.25">
      <c r="A129" s="1" t="s">
        <v>267</v>
      </c>
      <c r="B129" s="3">
        <v>45688</v>
      </c>
      <c r="C129" s="1" t="s">
        <v>128</v>
      </c>
      <c r="D129" s="1" t="s">
        <v>39</v>
      </c>
      <c r="E129" s="1" t="s">
        <v>25</v>
      </c>
      <c r="F129" s="2">
        <v>132.16999999999999</v>
      </c>
      <c r="G129" s="2" t="s">
        <v>93</v>
      </c>
      <c r="H129" s="2">
        <v>8</v>
      </c>
      <c r="I129" s="2">
        <v>1057.3499999999999</v>
      </c>
      <c r="J129" s="2" t="s">
        <v>18</v>
      </c>
      <c r="K129" s="2" t="s">
        <v>34</v>
      </c>
      <c r="L129" s="2" t="s">
        <v>20</v>
      </c>
      <c r="M129" s="2" t="s">
        <v>64</v>
      </c>
      <c r="N129" s="2" t="s">
        <v>1050</v>
      </c>
      <c r="O129" s="2" t="s">
        <v>1058</v>
      </c>
      <c r="P129" t="s">
        <v>1079</v>
      </c>
      <c r="Q129">
        <v>2025</v>
      </c>
    </row>
    <row r="130" spans="1:17" hidden="1" x14ac:dyDescent="0.25">
      <c r="A130" s="1" t="s">
        <v>268</v>
      </c>
      <c r="B130" s="3">
        <v>45378</v>
      </c>
      <c r="C130" s="1" t="s">
        <v>150</v>
      </c>
      <c r="D130" s="1" t="s">
        <v>24</v>
      </c>
      <c r="E130" s="1" t="s">
        <v>67</v>
      </c>
      <c r="F130" s="2">
        <v>163.4</v>
      </c>
      <c r="G130" s="2" t="s">
        <v>26</v>
      </c>
      <c r="H130" s="2">
        <v>10</v>
      </c>
      <c r="I130" s="2">
        <v>1634</v>
      </c>
      <c r="J130" s="2" t="s">
        <v>63</v>
      </c>
      <c r="K130" s="2" t="s">
        <v>34</v>
      </c>
      <c r="L130" s="2" t="s">
        <v>47</v>
      </c>
      <c r="M130" s="2" t="s">
        <v>48</v>
      </c>
      <c r="N130" s="2" t="s">
        <v>1054</v>
      </c>
      <c r="O130" s="2" t="s">
        <v>1059</v>
      </c>
      <c r="P130" t="s">
        <v>1079</v>
      </c>
      <c r="Q130">
        <v>2024</v>
      </c>
    </row>
    <row r="131" spans="1:17" x14ac:dyDescent="0.25">
      <c r="A131" s="1" t="s">
        <v>269</v>
      </c>
      <c r="B131" s="3">
        <v>45872</v>
      </c>
      <c r="C131" s="1" t="s">
        <v>188</v>
      </c>
      <c r="D131" s="1" t="s">
        <v>24</v>
      </c>
      <c r="E131" s="1" t="s">
        <v>45</v>
      </c>
      <c r="F131" s="2">
        <v>202.68</v>
      </c>
      <c r="G131" s="2" t="s">
        <v>26</v>
      </c>
      <c r="H131" s="2">
        <v>10</v>
      </c>
      <c r="I131" s="2">
        <v>2026.77</v>
      </c>
      <c r="J131" s="2" t="s">
        <v>18</v>
      </c>
      <c r="K131" s="2" t="s">
        <v>34</v>
      </c>
      <c r="L131" s="2" t="s">
        <v>35</v>
      </c>
      <c r="M131" s="2" t="s">
        <v>36</v>
      </c>
      <c r="N131" s="2" t="s">
        <v>1051</v>
      </c>
      <c r="O131" s="2" t="s">
        <v>1055</v>
      </c>
      <c r="P131" t="s">
        <v>1079</v>
      </c>
      <c r="Q131">
        <v>2025</v>
      </c>
    </row>
    <row r="132" spans="1:17" x14ac:dyDescent="0.25">
      <c r="A132" s="1" t="s">
        <v>270</v>
      </c>
      <c r="B132" s="3">
        <v>45953</v>
      </c>
      <c r="C132" s="1" t="s">
        <v>221</v>
      </c>
      <c r="D132" s="1" t="s">
        <v>15</v>
      </c>
      <c r="E132" s="1" t="s">
        <v>67</v>
      </c>
      <c r="F132" s="2">
        <v>66.819999999999993</v>
      </c>
      <c r="G132" s="2" t="s">
        <v>82</v>
      </c>
      <c r="H132" s="2">
        <v>12</v>
      </c>
      <c r="I132" s="2">
        <v>801.88</v>
      </c>
      <c r="J132" s="2" t="s">
        <v>18</v>
      </c>
      <c r="K132" s="2" t="s">
        <v>19</v>
      </c>
      <c r="L132" s="2" t="s">
        <v>20</v>
      </c>
      <c r="M132" s="2" t="s">
        <v>21</v>
      </c>
      <c r="N132" s="2" t="s">
        <v>1046</v>
      </c>
      <c r="O132" s="2" t="s">
        <v>1047</v>
      </c>
      <c r="P132" t="s">
        <v>1079</v>
      </c>
      <c r="Q132">
        <v>2025</v>
      </c>
    </row>
    <row r="133" spans="1:17" hidden="1" x14ac:dyDescent="0.25">
      <c r="A133" s="1" t="s">
        <v>271</v>
      </c>
      <c r="B133" s="3">
        <v>45400</v>
      </c>
      <c r="C133" s="1" t="s">
        <v>167</v>
      </c>
      <c r="D133" s="1" t="s">
        <v>15</v>
      </c>
      <c r="E133" s="1" t="s">
        <v>45</v>
      </c>
      <c r="F133" s="2">
        <v>136.75</v>
      </c>
      <c r="G133" s="2" t="s">
        <v>62</v>
      </c>
      <c r="H133" s="2">
        <v>14</v>
      </c>
      <c r="I133" s="2">
        <v>1914.51</v>
      </c>
      <c r="J133" s="2" t="s">
        <v>18</v>
      </c>
      <c r="K133" s="2" t="s">
        <v>19</v>
      </c>
      <c r="L133" s="2" t="s">
        <v>47</v>
      </c>
      <c r="M133" s="2" t="s">
        <v>48</v>
      </c>
      <c r="N133" s="2" t="s">
        <v>1048</v>
      </c>
      <c r="O133" s="2" t="s">
        <v>1047</v>
      </c>
      <c r="P133" t="s">
        <v>1079</v>
      </c>
      <c r="Q133">
        <v>2024</v>
      </c>
    </row>
    <row r="134" spans="1:17" x14ac:dyDescent="0.25">
      <c r="A134" s="1" t="s">
        <v>272</v>
      </c>
      <c r="B134" s="3">
        <v>45885</v>
      </c>
      <c r="C134" s="1" t="s">
        <v>228</v>
      </c>
      <c r="D134" s="1" t="s">
        <v>31</v>
      </c>
      <c r="E134" s="1" t="s">
        <v>67</v>
      </c>
      <c r="F134" s="2">
        <v>157.08000000000001</v>
      </c>
      <c r="G134" s="2" t="s">
        <v>31</v>
      </c>
      <c r="H134" s="2">
        <v>13</v>
      </c>
      <c r="I134" s="2">
        <v>2042</v>
      </c>
      <c r="J134" s="2" t="s">
        <v>18</v>
      </c>
      <c r="K134" s="2" t="s">
        <v>19</v>
      </c>
      <c r="L134" s="2" t="s">
        <v>20</v>
      </c>
      <c r="M134" s="2" t="s">
        <v>88</v>
      </c>
      <c r="N134" s="2" t="s">
        <v>1051</v>
      </c>
      <c r="O134" s="2" t="s">
        <v>1063</v>
      </c>
      <c r="P134" t="s">
        <v>1079</v>
      </c>
      <c r="Q134">
        <v>2025</v>
      </c>
    </row>
    <row r="135" spans="1:17" x14ac:dyDescent="0.25">
      <c r="A135" s="1" t="s">
        <v>273</v>
      </c>
      <c r="B135" s="3">
        <v>45905</v>
      </c>
      <c r="C135" s="1" t="s">
        <v>266</v>
      </c>
      <c r="D135" s="1" t="s">
        <v>55</v>
      </c>
      <c r="E135" s="1" t="s">
        <v>16</v>
      </c>
      <c r="F135" s="2">
        <v>115.09</v>
      </c>
      <c r="G135" s="2" t="s">
        <v>79</v>
      </c>
      <c r="H135" s="2">
        <v>11</v>
      </c>
      <c r="I135" s="2">
        <v>1266</v>
      </c>
      <c r="J135" s="2" t="s">
        <v>33</v>
      </c>
      <c r="K135" s="2" t="s">
        <v>19</v>
      </c>
      <c r="L135" s="2" t="s">
        <v>41</v>
      </c>
      <c r="M135" s="2" t="s">
        <v>42</v>
      </c>
      <c r="N135" s="2" t="s">
        <v>1049</v>
      </c>
      <c r="O135" s="2" t="s">
        <v>1058</v>
      </c>
      <c r="P135" t="s">
        <v>1079</v>
      </c>
      <c r="Q135">
        <v>2025</v>
      </c>
    </row>
    <row r="136" spans="1:17" x14ac:dyDescent="0.25">
      <c r="A136" s="1" t="s">
        <v>274</v>
      </c>
      <c r="B136" s="3">
        <v>45834</v>
      </c>
      <c r="C136" s="1" t="s">
        <v>275</v>
      </c>
      <c r="D136" s="1" t="s">
        <v>15</v>
      </c>
      <c r="E136" s="1" t="s">
        <v>45</v>
      </c>
      <c r="F136" s="2">
        <v>153.21</v>
      </c>
      <c r="G136" s="2" t="s">
        <v>17</v>
      </c>
      <c r="H136" s="2">
        <v>14</v>
      </c>
      <c r="I136" s="2">
        <v>2145</v>
      </c>
      <c r="J136" s="2" t="s">
        <v>18</v>
      </c>
      <c r="K136" s="2" t="s">
        <v>19</v>
      </c>
      <c r="L136" s="2" t="s">
        <v>41</v>
      </c>
      <c r="M136" s="2" t="s">
        <v>141</v>
      </c>
      <c r="N136" s="2" t="s">
        <v>1062</v>
      </c>
      <c r="O136" s="2" t="s">
        <v>1047</v>
      </c>
      <c r="P136" t="s">
        <v>1079</v>
      </c>
      <c r="Q136">
        <v>2025</v>
      </c>
    </row>
    <row r="137" spans="1:17" x14ac:dyDescent="0.25">
      <c r="A137" s="1" t="s">
        <v>276</v>
      </c>
      <c r="B137" s="3">
        <v>45829</v>
      </c>
      <c r="C137" s="1" t="s">
        <v>216</v>
      </c>
      <c r="D137" s="1" t="s">
        <v>55</v>
      </c>
      <c r="E137" s="1" t="s">
        <v>67</v>
      </c>
      <c r="F137" s="2">
        <v>181.06</v>
      </c>
      <c r="G137" s="2" t="s">
        <v>56</v>
      </c>
      <c r="H137" s="2">
        <v>9</v>
      </c>
      <c r="I137" s="2">
        <v>1629.52</v>
      </c>
      <c r="J137" s="2" t="s">
        <v>18</v>
      </c>
      <c r="K137" s="2" t="s">
        <v>34</v>
      </c>
      <c r="L137" s="2" t="s">
        <v>41</v>
      </c>
      <c r="M137" s="2" t="s">
        <v>76</v>
      </c>
      <c r="N137" s="2" t="s">
        <v>1062</v>
      </c>
      <c r="O137" s="2" t="s">
        <v>1063</v>
      </c>
      <c r="P137" t="s">
        <v>1079</v>
      </c>
      <c r="Q137">
        <v>2025</v>
      </c>
    </row>
    <row r="138" spans="1:17" hidden="1" x14ac:dyDescent="0.25">
      <c r="A138" s="1" t="s">
        <v>277</v>
      </c>
      <c r="B138" s="3">
        <v>45443</v>
      </c>
      <c r="C138" s="1" t="s">
        <v>169</v>
      </c>
      <c r="D138" s="1" t="s">
        <v>39</v>
      </c>
      <c r="E138" s="1" t="s">
        <v>25</v>
      </c>
      <c r="F138" s="2">
        <v>46.57</v>
      </c>
      <c r="G138" s="2" t="s">
        <v>40</v>
      </c>
      <c r="H138" s="2">
        <v>12</v>
      </c>
      <c r="I138" s="2">
        <v>558.79999999999995</v>
      </c>
      <c r="J138" s="2" t="s">
        <v>18</v>
      </c>
      <c r="K138" s="2" t="s">
        <v>19</v>
      </c>
      <c r="L138" s="2" t="s">
        <v>47</v>
      </c>
      <c r="M138" s="2" t="s">
        <v>85</v>
      </c>
      <c r="N138" s="2" t="s">
        <v>1057</v>
      </c>
      <c r="O138" s="2" t="s">
        <v>1058</v>
      </c>
      <c r="P138" t="s">
        <v>1079</v>
      </c>
      <c r="Q138">
        <v>2024</v>
      </c>
    </row>
    <row r="139" spans="1:17" hidden="1" x14ac:dyDescent="0.25">
      <c r="A139" s="1" t="s">
        <v>278</v>
      </c>
      <c r="B139" s="3">
        <v>45385</v>
      </c>
      <c r="C139" s="1" t="s">
        <v>279</v>
      </c>
      <c r="D139" s="1" t="s">
        <v>55</v>
      </c>
      <c r="E139" s="1" t="s">
        <v>45</v>
      </c>
      <c r="F139" s="2">
        <v>329.22</v>
      </c>
      <c r="G139" s="2" t="s">
        <v>148</v>
      </c>
      <c r="H139" s="2">
        <v>13</v>
      </c>
      <c r="I139" s="2">
        <v>4279.8900000000003</v>
      </c>
      <c r="J139" s="2" t="s">
        <v>18</v>
      </c>
      <c r="K139" s="2" t="s">
        <v>19</v>
      </c>
      <c r="L139" s="2" t="s">
        <v>20</v>
      </c>
      <c r="M139" s="2" t="s">
        <v>64</v>
      </c>
      <c r="N139" s="2" t="s">
        <v>1048</v>
      </c>
      <c r="O139" s="2" t="s">
        <v>1059</v>
      </c>
      <c r="P139" t="s">
        <v>1078</v>
      </c>
      <c r="Q139">
        <v>2024</v>
      </c>
    </row>
    <row r="140" spans="1:17" hidden="1" x14ac:dyDescent="0.25">
      <c r="A140" s="1" t="s">
        <v>280</v>
      </c>
      <c r="B140" s="3">
        <v>45294</v>
      </c>
      <c r="C140" s="1" t="s">
        <v>281</v>
      </c>
      <c r="D140" s="1" t="s">
        <v>15</v>
      </c>
      <c r="E140" s="1" t="s">
        <v>45</v>
      </c>
      <c r="F140" s="2">
        <v>71.77</v>
      </c>
      <c r="G140" s="2" t="s">
        <v>51</v>
      </c>
      <c r="H140" s="2">
        <v>19</v>
      </c>
      <c r="I140" s="2">
        <v>1363.71</v>
      </c>
      <c r="J140" s="2" t="s">
        <v>33</v>
      </c>
      <c r="K140" s="2" t="s">
        <v>19</v>
      </c>
      <c r="L140" s="2" t="s">
        <v>35</v>
      </c>
      <c r="M140" s="2" t="s">
        <v>126</v>
      </c>
      <c r="N140" s="2" t="s">
        <v>1050</v>
      </c>
      <c r="O140" s="2" t="s">
        <v>1059</v>
      </c>
      <c r="P140" t="s">
        <v>1079</v>
      </c>
      <c r="Q140">
        <v>2024</v>
      </c>
    </row>
    <row r="141" spans="1:17" hidden="1" x14ac:dyDescent="0.25">
      <c r="A141" s="1" t="s">
        <v>282</v>
      </c>
      <c r="B141" s="3">
        <v>45394</v>
      </c>
      <c r="C141" s="1" t="s">
        <v>61</v>
      </c>
      <c r="D141" s="1" t="s">
        <v>31</v>
      </c>
      <c r="E141" s="1" t="s">
        <v>25</v>
      </c>
      <c r="F141" s="2">
        <v>54.32</v>
      </c>
      <c r="G141" s="2" t="s">
        <v>98</v>
      </c>
      <c r="H141" s="2">
        <v>64</v>
      </c>
      <c r="I141" s="2">
        <v>3476.48</v>
      </c>
      <c r="J141" s="2" t="s">
        <v>18</v>
      </c>
      <c r="K141" s="2" t="s">
        <v>19</v>
      </c>
      <c r="L141" s="2" t="s">
        <v>27</v>
      </c>
      <c r="M141" s="2" t="s">
        <v>161</v>
      </c>
      <c r="N141" s="2" t="s">
        <v>1048</v>
      </c>
      <c r="O141" s="2" t="s">
        <v>1058</v>
      </c>
      <c r="P141" t="s">
        <v>1079</v>
      </c>
      <c r="Q141">
        <v>2024</v>
      </c>
    </row>
    <row r="142" spans="1:17" x14ac:dyDescent="0.25">
      <c r="A142" s="1" t="s">
        <v>283</v>
      </c>
      <c r="B142" s="3">
        <v>45723</v>
      </c>
      <c r="C142" s="1" t="s">
        <v>284</v>
      </c>
      <c r="D142" s="1" t="s">
        <v>15</v>
      </c>
      <c r="E142" s="1" t="s">
        <v>71</v>
      </c>
      <c r="F142" s="2">
        <v>296.19</v>
      </c>
      <c r="G142" s="2" t="s">
        <v>51</v>
      </c>
      <c r="H142" s="2">
        <v>15</v>
      </c>
      <c r="I142" s="2">
        <v>4442.88</v>
      </c>
      <c r="J142" s="2" t="s">
        <v>18</v>
      </c>
      <c r="K142" s="2" t="s">
        <v>19</v>
      </c>
      <c r="L142" s="2" t="s">
        <v>20</v>
      </c>
      <c r="M142" s="2" t="s">
        <v>88</v>
      </c>
      <c r="N142" s="2" t="s">
        <v>1054</v>
      </c>
      <c r="O142" s="2" t="s">
        <v>1058</v>
      </c>
      <c r="P142" t="s">
        <v>1078</v>
      </c>
      <c r="Q142">
        <v>2025</v>
      </c>
    </row>
    <row r="143" spans="1:17" hidden="1" x14ac:dyDescent="0.25">
      <c r="A143" s="1" t="s">
        <v>285</v>
      </c>
      <c r="B143" s="3">
        <v>45559</v>
      </c>
      <c r="C143" s="1" t="s">
        <v>286</v>
      </c>
      <c r="D143" s="1" t="s">
        <v>31</v>
      </c>
      <c r="E143" s="1" t="s">
        <v>67</v>
      </c>
      <c r="F143" s="2">
        <v>278</v>
      </c>
      <c r="G143" s="2" t="s">
        <v>31</v>
      </c>
      <c r="H143" s="2">
        <v>12</v>
      </c>
      <c r="I143" s="2">
        <v>3336</v>
      </c>
      <c r="J143" s="2" t="s">
        <v>18</v>
      </c>
      <c r="K143" s="2" t="s">
        <v>19</v>
      </c>
      <c r="L143" s="2" t="s">
        <v>35</v>
      </c>
      <c r="M143" s="2" t="s">
        <v>52</v>
      </c>
      <c r="N143" s="2" t="s">
        <v>1049</v>
      </c>
      <c r="O143" s="2" t="s">
        <v>1053</v>
      </c>
      <c r="P143" t="s">
        <v>1079</v>
      </c>
      <c r="Q143">
        <v>2024</v>
      </c>
    </row>
    <row r="144" spans="1:17" x14ac:dyDescent="0.25">
      <c r="A144" s="1" t="s">
        <v>287</v>
      </c>
      <c r="B144" s="3">
        <v>45926</v>
      </c>
      <c r="C144" s="1" t="s">
        <v>30</v>
      </c>
      <c r="D144" s="1" t="s">
        <v>39</v>
      </c>
      <c r="E144" s="1" t="s">
        <v>45</v>
      </c>
      <c r="F144" s="2">
        <v>97.4</v>
      </c>
      <c r="G144" s="2" t="s">
        <v>93</v>
      </c>
      <c r="H144" s="2">
        <v>15</v>
      </c>
      <c r="I144" s="2">
        <v>1461.02</v>
      </c>
      <c r="J144" s="2" t="s">
        <v>18</v>
      </c>
      <c r="K144" s="2" t="s">
        <v>19</v>
      </c>
      <c r="L144" s="2" t="s">
        <v>20</v>
      </c>
      <c r="M144" s="2" t="s">
        <v>88</v>
      </c>
      <c r="N144" s="2" t="s">
        <v>1049</v>
      </c>
      <c r="O144" s="2" t="s">
        <v>1058</v>
      </c>
      <c r="P144" t="s">
        <v>1079</v>
      </c>
      <c r="Q144">
        <v>2025</v>
      </c>
    </row>
    <row r="145" spans="1:17" hidden="1" x14ac:dyDescent="0.25">
      <c r="A145" s="1" t="s">
        <v>288</v>
      </c>
      <c r="B145" s="3">
        <v>45511</v>
      </c>
      <c r="C145" s="1" t="s">
        <v>228</v>
      </c>
      <c r="D145" s="1" t="s">
        <v>39</v>
      </c>
      <c r="E145" s="1" t="s">
        <v>16</v>
      </c>
      <c r="F145" s="2">
        <v>253.05</v>
      </c>
      <c r="G145" s="2" t="s">
        <v>40</v>
      </c>
      <c r="H145" s="2">
        <v>12</v>
      </c>
      <c r="I145" s="2">
        <v>3036.66</v>
      </c>
      <c r="J145" s="2" t="s">
        <v>33</v>
      </c>
      <c r="K145" s="2" t="s">
        <v>19</v>
      </c>
      <c r="L145" s="2" t="s">
        <v>41</v>
      </c>
      <c r="M145" s="2" t="s">
        <v>141</v>
      </c>
      <c r="N145" s="2" t="s">
        <v>1051</v>
      </c>
      <c r="O145" s="2" t="s">
        <v>1059</v>
      </c>
      <c r="P145" t="s">
        <v>1079</v>
      </c>
      <c r="Q145">
        <v>2024</v>
      </c>
    </row>
    <row r="146" spans="1:17" x14ac:dyDescent="0.25">
      <c r="A146" s="1" t="s">
        <v>289</v>
      </c>
      <c r="B146" s="3">
        <v>45833</v>
      </c>
      <c r="C146" s="1" t="s">
        <v>290</v>
      </c>
      <c r="D146" s="1" t="s">
        <v>39</v>
      </c>
      <c r="E146" s="1" t="s">
        <v>67</v>
      </c>
      <c r="F146" s="2">
        <v>109.85</v>
      </c>
      <c r="G146" s="2" t="s">
        <v>40</v>
      </c>
      <c r="H146" s="2">
        <v>15</v>
      </c>
      <c r="I146" s="2">
        <v>1647.78</v>
      </c>
      <c r="J146" s="2" t="s">
        <v>18</v>
      </c>
      <c r="K146" s="2" t="s">
        <v>19</v>
      </c>
      <c r="L146" s="2" t="s">
        <v>20</v>
      </c>
      <c r="M146" s="2" t="s">
        <v>64</v>
      </c>
      <c r="N146" s="2" t="s">
        <v>1062</v>
      </c>
      <c r="O146" s="2" t="s">
        <v>1059</v>
      </c>
      <c r="P146" t="s">
        <v>1079</v>
      </c>
      <c r="Q146">
        <v>2025</v>
      </c>
    </row>
    <row r="147" spans="1:17" x14ac:dyDescent="0.25">
      <c r="A147" s="1" t="s">
        <v>291</v>
      </c>
      <c r="B147" s="3">
        <v>45703</v>
      </c>
      <c r="C147" s="1" t="s">
        <v>292</v>
      </c>
      <c r="D147" s="1" t="s">
        <v>55</v>
      </c>
      <c r="E147" s="1" t="s">
        <v>25</v>
      </c>
      <c r="F147" s="2">
        <v>126.71</v>
      </c>
      <c r="G147" s="2" t="s">
        <v>148</v>
      </c>
      <c r="H147" s="2">
        <v>11</v>
      </c>
      <c r="I147" s="2">
        <v>1393.84</v>
      </c>
      <c r="J147" s="2" t="s">
        <v>18</v>
      </c>
      <c r="K147" s="2" t="s">
        <v>19</v>
      </c>
      <c r="L147" s="2" t="s">
        <v>47</v>
      </c>
      <c r="M147" s="2" t="s">
        <v>48</v>
      </c>
      <c r="N147" s="2" t="s">
        <v>1060</v>
      </c>
      <c r="O147" s="2" t="s">
        <v>1063</v>
      </c>
      <c r="P147" t="s">
        <v>1079</v>
      </c>
      <c r="Q147">
        <v>2025</v>
      </c>
    </row>
    <row r="148" spans="1:17" hidden="1" x14ac:dyDescent="0.25">
      <c r="A148" s="1" t="s">
        <v>293</v>
      </c>
      <c r="B148" s="3">
        <v>45336</v>
      </c>
      <c r="C148" s="1" t="s">
        <v>294</v>
      </c>
      <c r="D148" s="1" t="s">
        <v>39</v>
      </c>
      <c r="E148" s="1" t="s">
        <v>45</v>
      </c>
      <c r="F148" s="2">
        <v>199.44</v>
      </c>
      <c r="G148" s="2" t="s">
        <v>40</v>
      </c>
      <c r="H148" s="2">
        <v>12</v>
      </c>
      <c r="I148" s="2">
        <v>2393.2399999999998</v>
      </c>
      <c r="J148" s="2" t="s">
        <v>18</v>
      </c>
      <c r="K148" s="2" t="s">
        <v>19</v>
      </c>
      <c r="L148" s="2" t="s">
        <v>47</v>
      </c>
      <c r="M148" s="2" t="s">
        <v>85</v>
      </c>
      <c r="N148" s="2" t="s">
        <v>1060</v>
      </c>
      <c r="O148" s="2" t="s">
        <v>1059</v>
      </c>
      <c r="P148" t="s">
        <v>1079</v>
      </c>
      <c r="Q148">
        <v>2024</v>
      </c>
    </row>
    <row r="149" spans="1:17" hidden="1" x14ac:dyDescent="0.25">
      <c r="A149" s="1" t="s">
        <v>295</v>
      </c>
      <c r="B149" s="3">
        <v>45393</v>
      </c>
      <c r="C149" s="1" t="s">
        <v>118</v>
      </c>
      <c r="D149" s="1" t="s">
        <v>24</v>
      </c>
      <c r="E149" s="1" t="s">
        <v>67</v>
      </c>
      <c r="F149" s="2">
        <v>150.56</v>
      </c>
      <c r="G149" s="2" t="s">
        <v>170</v>
      </c>
      <c r="H149" s="2">
        <v>11</v>
      </c>
      <c r="I149" s="2">
        <v>1656.19</v>
      </c>
      <c r="J149" s="2" t="s">
        <v>18</v>
      </c>
      <c r="K149" s="2" t="s">
        <v>19</v>
      </c>
      <c r="L149" s="2" t="s">
        <v>35</v>
      </c>
      <c r="M149" s="2" t="s">
        <v>52</v>
      </c>
      <c r="N149" s="2" t="s">
        <v>1048</v>
      </c>
      <c r="O149" s="2" t="s">
        <v>1047</v>
      </c>
      <c r="P149" t="s">
        <v>1079</v>
      </c>
      <c r="Q149">
        <v>2024</v>
      </c>
    </row>
    <row r="150" spans="1:17" x14ac:dyDescent="0.25">
      <c r="A150" s="1" t="s">
        <v>296</v>
      </c>
      <c r="B150" s="3">
        <v>45934</v>
      </c>
      <c r="C150" s="1" t="s">
        <v>152</v>
      </c>
      <c r="D150" s="1" t="s">
        <v>55</v>
      </c>
      <c r="E150" s="1" t="s">
        <v>45</v>
      </c>
      <c r="F150" s="2">
        <v>229.16</v>
      </c>
      <c r="G150" s="2" t="s">
        <v>148</v>
      </c>
      <c r="H150" s="2">
        <v>9</v>
      </c>
      <c r="I150" s="2">
        <v>2062.4299999999998</v>
      </c>
      <c r="J150" s="2" t="s">
        <v>18</v>
      </c>
      <c r="K150" s="2" t="s">
        <v>34</v>
      </c>
      <c r="L150" s="2" t="s">
        <v>41</v>
      </c>
      <c r="M150" s="2" t="s">
        <v>141</v>
      </c>
      <c r="N150" s="2" t="s">
        <v>1046</v>
      </c>
      <c r="O150" s="2" t="s">
        <v>1063</v>
      </c>
      <c r="P150" t="s">
        <v>1079</v>
      </c>
      <c r="Q150">
        <v>2025</v>
      </c>
    </row>
    <row r="151" spans="1:17" x14ac:dyDescent="0.25">
      <c r="A151" s="1" t="s">
        <v>297</v>
      </c>
      <c r="B151" s="3">
        <v>45754</v>
      </c>
      <c r="C151" s="1" t="s">
        <v>298</v>
      </c>
      <c r="D151" s="1" t="s">
        <v>39</v>
      </c>
      <c r="E151" s="1" t="s">
        <v>71</v>
      </c>
      <c r="F151" s="2">
        <v>122.48</v>
      </c>
      <c r="G151" s="2" t="s">
        <v>40</v>
      </c>
      <c r="H151" s="2">
        <v>12</v>
      </c>
      <c r="I151" s="2">
        <v>1469.77</v>
      </c>
      <c r="J151" s="2" t="s">
        <v>63</v>
      </c>
      <c r="K151" s="2" t="s">
        <v>19</v>
      </c>
      <c r="L151" s="2" t="s">
        <v>20</v>
      </c>
      <c r="M151" s="2" t="s">
        <v>64</v>
      </c>
      <c r="N151" s="2" t="s">
        <v>1048</v>
      </c>
      <c r="O151" s="2" t="s">
        <v>1056</v>
      </c>
      <c r="P151" t="s">
        <v>1079</v>
      </c>
      <c r="Q151">
        <v>2025</v>
      </c>
    </row>
    <row r="152" spans="1:17" x14ac:dyDescent="0.25">
      <c r="A152" s="1" t="s">
        <v>299</v>
      </c>
      <c r="B152" s="3">
        <v>45905</v>
      </c>
      <c r="C152" s="1" t="s">
        <v>66</v>
      </c>
      <c r="D152" s="1" t="s">
        <v>39</v>
      </c>
      <c r="E152" s="1" t="s">
        <v>25</v>
      </c>
      <c r="F152" s="2">
        <v>191.5</v>
      </c>
      <c r="G152" s="2" t="s">
        <v>72</v>
      </c>
      <c r="H152" s="2">
        <v>0</v>
      </c>
      <c r="I152" s="2">
        <v>0</v>
      </c>
      <c r="J152" s="2" t="s">
        <v>18</v>
      </c>
      <c r="K152" s="2" t="s">
        <v>34</v>
      </c>
      <c r="L152" s="2" t="s">
        <v>47</v>
      </c>
      <c r="M152" s="2" t="s">
        <v>48</v>
      </c>
      <c r="N152" s="2" t="s">
        <v>1049</v>
      </c>
      <c r="O152" s="2" t="s">
        <v>1058</v>
      </c>
      <c r="P152" t="s">
        <v>1079</v>
      </c>
      <c r="Q152">
        <v>2025</v>
      </c>
    </row>
    <row r="153" spans="1:17" hidden="1" x14ac:dyDescent="0.25">
      <c r="A153" s="1" t="s">
        <v>300</v>
      </c>
      <c r="B153" s="3">
        <v>45566</v>
      </c>
      <c r="C153" s="1" t="s">
        <v>201</v>
      </c>
      <c r="D153" s="1" t="s">
        <v>39</v>
      </c>
      <c r="E153" s="1" t="s">
        <v>67</v>
      </c>
      <c r="F153" s="2">
        <v>160.59</v>
      </c>
      <c r="G153" s="2" t="s">
        <v>93</v>
      </c>
      <c r="H153" s="2">
        <v>15</v>
      </c>
      <c r="I153" s="2">
        <v>2408.9</v>
      </c>
      <c r="J153" s="2" t="s">
        <v>63</v>
      </c>
      <c r="K153" s="2" t="s">
        <v>19</v>
      </c>
      <c r="L153" s="2" t="s">
        <v>47</v>
      </c>
      <c r="M153" s="2" t="s">
        <v>85</v>
      </c>
      <c r="N153" s="2" t="s">
        <v>1046</v>
      </c>
      <c r="O153" s="2" t="s">
        <v>1053</v>
      </c>
      <c r="P153" t="s">
        <v>1079</v>
      </c>
      <c r="Q153">
        <v>2024</v>
      </c>
    </row>
    <row r="154" spans="1:17" hidden="1" x14ac:dyDescent="0.25">
      <c r="A154" s="1" t="s">
        <v>301</v>
      </c>
      <c r="B154" s="3">
        <v>45466</v>
      </c>
      <c r="C154" s="1" t="s">
        <v>302</v>
      </c>
      <c r="D154" s="1" t="s">
        <v>55</v>
      </c>
      <c r="E154" s="1" t="s">
        <v>71</v>
      </c>
      <c r="F154" s="2">
        <v>79.63</v>
      </c>
      <c r="G154" s="2" t="s">
        <v>79</v>
      </c>
      <c r="H154" s="2">
        <v>15</v>
      </c>
      <c r="I154" s="2">
        <v>1194.3800000000001</v>
      </c>
      <c r="J154" s="2" t="s">
        <v>33</v>
      </c>
      <c r="K154" s="2" t="s">
        <v>19</v>
      </c>
      <c r="L154" s="2" t="s">
        <v>47</v>
      </c>
      <c r="M154" s="2" t="s">
        <v>85</v>
      </c>
      <c r="N154" s="2" t="s">
        <v>1062</v>
      </c>
      <c r="O154" s="2" t="s">
        <v>1055</v>
      </c>
      <c r="P154" t="s">
        <v>1079</v>
      </c>
      <c r="Q154">
        <v>2024</v>
      </c>
    </row>
    <row r="155" spans="1:17" hidden="1" x14ac:dyDescent="0.25">
      <c r="A155" s="1" t="s">
        <v>303</v>
      </c>
      <c r="B155" s="3">
        <v>45347</v>
      </c>
      <c r="C155" s="1" t="s">
        <v>304</v>
      </c>
      <c r="D155" s="1" t="s">
        <v>39</v>
      </c>
      <c r="E155" s="1" t="s">
        <v>45</v>
      </c>
      <c r="F155" s="2">
        <v>165.91</v>
      </c>
      <c r="G155" s="2" t="s">
        <v>72</v>
      </c>
      <c r="H155" s="2">
        <v>13</v>
      </c>
      <c r="I155" s="2">
        <v>2156.83</v>
      </c>
      <c r="J155" s="2" t="s">
        <v>33</v>
      </c>
      <c r="K155" s="2" t="s">
        <v>19</v>
      </c>
      <c r="L155" s="2" t="s">
        <v>20</v>
      </c>
      <c r="M155" s="2" t="s">
        <v>64</v>
      </c>
      <c r="N155" s="2" t="s">
        <v>1060</v>
      </c>
      <c r="O155" s="2" t="s">
        <v>1055</v>
      </c>
      <c r="P155" t="s">
        <v>1079</v>
      </c>
      <c r="Q155">
        <v>2024</v>
      </c>
    </row>
    <row r="156" spans="1:17" hidden="1" x14ac:dyDescent="0.25">
      <c r="A156" s="1" t="s">
        <v>305</v>
      </c>
      <c r="B156" s="3">
        <v>45339</v>
      </c>
      <c r="C156" s="1" t="s">
        <v>116</v>
      </c>
      <c r="D156" s="1" t="s">
        <v>39</v>
      </c>
      <c r="E156" s="1" t="s">
        <v>45</v>
      </c>
      <c r="F156" s="2">
        <v>211.42</v>
      </c>
      <c r="G156" s="2" t="s">
        <v>72</v>
      </c>
      <c r="H156" s="2">
        <v>13</v>
      </c>
      <c r="I156" s="2">
        <v>2748.45</v>
      </c>
      <c r="J156" s="2" t="s">
        <v>33</v>
      </c>
      <c r="K156" s="2" t="s">
        <v>19</v>
      </c>
      <c r="L156" s="2" t="s">
        <v>47</v>
      </c>
      <c r="M156" s="2" t="s">
        <v>85</v>
      </c>
      <c r="N156" s="2" t="s">
        <v>1060</v>
      </c>
      <c r="O156" s="2" t="s">
        <v>1063</v>
      </c>
      <c r="P156" t="s">
        <v>1079</v>
      </c>
      <c r="Q156">
        <v>2024</v>
      </c>
    </row>
    <row r="157" spans="1:17" hidden="1" x14ac:dyDescent="0.25">
      <c r="A157" s="1" t="s">
        <v>306</v>
      </c>
      <c r="B157" s="3">
        <v>45366</v>
      </c>
      <c r="C157" s="1" t="s">
        <v>145</v>
      </c>
      <c r="D157" s="1" t="s">
        <v>55</v>
      </c>
      <c r="E157" s="1" t="s">
        <v>25</v>
      </c>
      <c r="F157" s="2">
        <v>11.56</v>
      </c>
      <c r="G157" s="2" t="s">
        <v>148</v>
      </c>
      <c r="H157" s="2">
        <v>95</v>
      </c>
      <c r="I157" s="2">
        <v>1098.33</v>
      </c>
      <c r="J157" s="2" t="s">
        <v>18</v>
      </c>
      <c r="K157" s="2" t="s">
        <v>19</v>
      </c>
      <c r="L157" s="2" t="s">
        <v>35</v>
      </c>
      <c r="M157" s="2" t="s">
        <v>52</v>
      </c>
      <c r="N157" s="2" t="s">
        <v>1054</v>
      </c>
      <c r="O157" s="2" t="s">
        <v>1058</v>
      </c>
      <c r="P157" t="s">
        <v>1079</v>
      </c>
      <c r="Q157">
        <v>2024</v>
      </c>
    </row>
    <row r="158" spans="1:17" hidden="1" x14ac:dyDescent="0.25">
      <c r="A158" s="1" t="s">
        <v>307</v>
      </c>
      <c r="B158" s="3">
        <v>45372</v>
      </c>
      <c r="C158" s="1" t="s">
        <v>308</v>
      </c>
      <c r="D158" s="1" t="s">
        <v>31</v>
      </c>
      <c r="E158" s="1" t="s">
        <v>16</v>
      </c>
      <c r="F158" s="2">
        <v>96.11</v>
      </c>
      <c r="G158" s="2" t="s">
        <v>46</v>
      </c>
      <c r="H158" s="2">
        <v>16</v>
      </c>
      <c r="I158" s="2">
        <v>1537.73</v>
      </c>
      <c r="J158" s="2" t="s">
        <v>18</v>
      </c>
      <c r="K158" s="2" t="s">
        <v>19</v>
      </c>
      <c r="L158" s="2" t="s">
        <v>47</v>
      </c>
      <c r="M158" s="2" t="s">
        <v>85</v>
      </c>
      <c r="N158" s="2" t="s">
        <v>1054</v>
      </c>
      <c r="O158" s="2" t="s">
        <v>1047</v>
      </c>
      <c r="P158" t="s">
        <v>1079</v>
      </c>
      <c r="Q158">
        <v>2024</v>
      </c>
    </row>
    <row r="159" spans="1:17" x14ac:dyDescent="0.25">
      <c r="A159" s="1" t="s">
        <v>309</v>
      </c>
      <c r="B159" s="3">
        <v>45671</v>
      </c>
      <c r="C159" s="1" t="s">
        <v>240</v>
      </c>
      <c r="D159" s="1" t="s">
        <v>15</v>
      </c>
      <c r="E159" s="1" t="s">
        <v>25</v>
      </c>
      <c r="F159" s="2">
        <v>1145.17</v>
      </c>
      <c r="G159" s="2" t="s">
        <v>62</v>
      </c>
      <c r="H159" s="2">
        <v>1</v>
      </c>
      <c r="I159" s="2">
        <v>1145.17</v>
      </c>
      <c r="J159" s="2" t="s">
        <v>63</v>
      </c>
      <c r="K159" s="2" t="s">
        <v>34</v>
      </c>
      <c r="L159" s="2" t="s">
        <v>47</v>
      </c>
      <c r="M159" s="2" t="s">
        <v>48</v>
      </c>
      <c r="N159" s="2" t="s">
        <v>1050</v>
      </c>
      <c r="O159" s="2" t="s">
        <v>1053</v>
      </c>
      <c r="P159" t="s">
        <v>1079</v>
      </c>
      <c r="Q159">
        <v>2025</v>
      </c>
    </row>
    <row r="160" spans="1:17" hidden="1" x14ac:dyDescent="0.25">
      <c r="A160" s="1" t="s">
        <v>310</v>
      </c>
      <c r="B160" s="3">
        <v>45612</v>
      </c>
      <c r="C160" s="1" t="s">
        <v>311</v>
      </c>
      <c r="D160" s="1" t="s">
        <v>24</v>
      </c>
      <c r="E160" s="1" t="s">
        <v>67</v>
      </c>
      <c r="F160" s="2">
        <v>97.25</v>
      </c>
      <c r="G160" s="2" t="s">
        <v>75</v>
      </c>
      <c r="H160" s="2">
        <v>12</v>
      </c>
      <c r="I160" s="2">
        <v>1167.06</v>
      </c>
      <c r="J160" s="2" t="s">
        <v>33</v>
      </c>
      <c r="K160" s="2" t="s">
        <v>19</v>
      </c>
      <c r="L160" s="2" t="s">
        <v>20</v>
      </c>
      <c r="M160" s="2" t="s">
        <v>64</v>
      </c>
      <c r="N160" s="2" t="s">
        <v>1064</v>
      </c>
      <c r="O160" s="2" t="s">
        <v>1063</v>
      </c>
      <c r="P160" t="s">
        <v>1079</v>
      </c>
      <c r="Q160">
        <v>2024</v>
      </c>
    </row>
    <row r="161" spans="1:17" hidden="1" x14ac:dyDescent="0.25">
      <c r="A161" s="1" t="s">
        <v>312</v>
      </c>
      <c r="B161" s="3">
        <v>45446</v>
      </c>
      <c r="C161" s="1" t="s">
        <v>181</v>
      </c>
      <c r="D161" s="1" t="s">
        <v>39</v>
      </c>
      <c r="E161" s="1" t="s">
        <v>45</v>
      </c>
      <c r="F161" s="2">
        <v>295.19</v>
      </c>
      <c r="G161" s="2" t="s">
        <v>136</v>
      </c>
      <c r="H161" s="2">
        <v>8</v>
      </c>
      <c r="I161" s="2">
        <v>2361.52</v>
      </c>
      <c r="J161" s="2" t="s">
        <v>18</v>
      </c>
      <c r="K161" s="2" t="s">
        <v>34</v>
      </c>
      <c r="L161" s="2" t="s">
        <v>47</v>
      </c>
      <c r="M161" s="2" t="s">
        <v>48</v>
      </c>
      <c r="N161" s="2" t="s">
        <v>1062</v>
      </c>
      <c r="O161" s="2" t="s">
        <v>1056</v>
      </c>
      <c r="P161" t="s">
        <v>1079</v>
      </c>
      <c r="Q161">
        <v>2024</v>
      </c>
    </row>
    <row r="162" spans="1:17" x14ac:dyDescent="0.25">
      <c r="A162" s="1" t="s">
        <v>313</v>
      </c>
      <c r="B162" s="3">
        <v>45879</v>
      </c>
      <c r="C162" s="1" t="s">
        <v>70</v>
      </c>
      <c r="D162" s="1" t="s">
        <v>31</v>
      </c>
      <c r="E162" s="1" t="s">
        <v>45</v>
      </c>
      <c r="F162" s="2">
        <v>68.7</v>
      </c>
      <c r="G162" s="2" t="s">
        <v>32</v>
      </c>
      <c r="H162" s="2">
        <v>12</v>
      </c>
      <c r="I162" s="2">
        <v>824.42</v>
      </c>
      <c r="J162" s="2" t="s">
        <v>18</v>
      </c>
      <c r="K162" s="2" t="s">
        <v>19</v>
      </c>
      <c r="L162" s="2" t="s">
        <v>20</v>
      </c>
      <c r="M162" s="2" t="s">
        <v>21</v>
      </c>
      <c r="N162" s="2" t="s">
        <v>1051</v>
      </c>
      <c r="O162" s="2" t="s">
        <v>1055</v>
      </c>
      <c r="P162" t="s">
        <v>1079</v>
      </c>
      <c r="Q162">
        <v>2025</v>
      </c>
    </row>
    <row r="163" spans="1:17" hidden="1" x14ac:dyDescent="0.25">
      <c r="A163" s="1" t="s">
        <v>314</v>
      </c>
      <c r="B163" s="3">
        <v>45584</v>
      </c>
      <c r="C163" s="1" t="s">
        <v>92</v>
      </c>
      <c r="D163" s="1" t="s">
        <v>24</v>
      </c>
      <c r="E163" s="1" t="s">
        <v>67</v>
      </c>
      <c r="F163" s="2">
        <v>146</v>
      </c>
      <c r="G163" s="2" t="s">
        <v>170</v>
      </c>
      <c r="H163" s="2">
        <v>13</v>
      </c>
      <c r="I163" s="2">
        <v>1897.96</v>
      </c>
      <c r="J163" s="2" t="s">
        <v>18</v>
      </c>
      <c r="K163" s="2" t="s">
        <v>19</v>
      </c>
      <c r="L163" s="2" t="s">
        <v>41</v>
      </c>
      <c r="M163" s="2" t="s">
        <v>141</v>
      </c>
      <c r="N163" s="2" t="s">
        <v>1046</v>
      </c>
      <c r="O163" s="2" t="s">
        <v>1063</v>
      </c>
      <c r="P163" t="s">
        <v>1079</v>
      </c>
      <c r="Q163">
        <v>2024</v>
      </c>
    </row>
    <row r="164" spans="1:17" x14ac:dyDescent="0.25">
      <c r="A164" s="1" t="s">
        <v>315</v>
      </c>
      <c r="B164" s="3">
        <v>45826</v>
      </c>
      <c r="C164" s="1" t="s">
        <v>58</v>
      </c>
      <c r="D164" s="1" t="s">
        <v>39</v>
      </c>
      <c r="E164" s="1" t="s">
        <v>67</v>
      </c>
      <c r="F164" s="2">
        <v>102.86</v>
      </c>
      <c r="G164" s="2" t="s">
        <v>93</v>
      </c>
      <c r="H164" s="2">
        <v>16</v>
      </c>
      <c r="I164" s="2">
        <v>1645.7</v>
      </c>
      <c r="J164" s="2" t="s">
        <v>18</v>
      </c>
      <c r="K164" s="2" t="s">
        <v>19</v>
      </c>
      <c r="L164" s="2" t="s">
        <v>20</v>
      </c>
      <c r="M164" s="2" t="s">
        <v>64</v>
      </c>
      <c r="N164" s="2" t="s">
        <v>1062</v>
      </c>
      <c r="O164" s="2" t="s">
        <v>1059</v>
      </c>
      <c r="P164" t="s">
        <v>1079</v>
      </c>
      <c r="Q164">
        <v>2025</v>
      </c>
    </row>
    <row r="165" spans="1:17" x14ac:dyDescent="0.25">
      <c r="A165" s="1" t="s">
        <v>316</v>
      </c>
      <c r="B165" s="3">
        <v>45903</v>
      </c>
      <c r="C165" s="1" t="s">
        <v>128</v>
      </c>
      <c r="D165" s="1" t="s">
        <v>24</v>
      </c>
      <c r="E165" s="1" t="s">
        <v>25</v>
      </c>
      <c r="F165" s="2">
        <v>255.95</v>
      </c>
      <c r="G165" s="2" t="s">
        <v>68</v>
      </c>
      <c r="H165" s="2">
        <v>7</v>
      </c>
      <c r="I165" s="2">
        <v>1791.64</v>
      </c>
      <c r="J165" s="2" t="s">
        <v>63</v>
      </c>
      <c r="K165" s="2" t="s">
        <v>34</v>
      </c>
      <c r="L165" s="2" t="s">
        <v>27</v>
      </c>
      <c r="M165" s="2" t="s">
        <v>59</v>
      </c>
      <c r="N165" s="2" t="s">
        <v>1049</v>
      </c>
      <c r="O165" s="2" t="s">
        <v>1059</v>
      </c>
      <c r="P165" t="s">
        <v>1079</v>
      </c>
      <c r="Q165">
        <v>2025</v>
      </c>
    </row>
    <row r="166" spans="1:17" hidden="1" x14ac:dyDescent="0.25">
      <c r="A166" s="1" t="s">
        <v>317</v>
      </c>
      <c r="B166" s="3">
        <v>45550</v>
      </c>
      <c r="C166" s="1" t="s">
        <v>193</v>
      </c>
      <c r="D166" s="1" t="s">
        <v>24</v>
      </c>
      <c r="E166" s="1" t="s">
        <v>16</v>
      </c>
      <c r="F166" s="2">
        <v>143.04</v>
      </c>
      <c r="G166" s="2" t="s">
        <v>68</v>
      </c>
      <c r="H166" s="2">
        <v>15</v>
      </c>
      <c r="I166" s="2">
        <v>2145.5300000000002</v>
      </c>
      <c r="J166" s="2" t="s">
        <v>18</v>
      </c>
      <c r="K166" s="2" t="s">
        <v>19</v>
      </c>
      <c r="L166" s="2" t="s">
        <v>27</v>
      </c>
      <c r="M166" s="2" t="s">
        <v>28</v>
      </c>
      <c r="N166" s="2" t="s">
        <v>1049</v>
      </c>
      <c r="O166" s="2" t="s">
        <v>1055</v>
      </c>
      <c r="P166" t="s">
        <v>1079</v>
      </c>
      <c r="Q166">
        <v>2024</v>
      </c>
    </row>
    <row r="167" spans="1:17" hidden="1" x14ac:dyDescent="0.25">
      <c r="A167" s="1" t="s">
        <v>318</v>
      </c>
      <c r="B167" s="3">
        <v>45302</v>
      </c>
      <c r="C167" s="1" t="s">
        <v>266</v>
      </c>
      <c r="D167" s="1" t="s">
        <v>31</v>
      </c>
      <c r="E167" s="1" t="s">
        <v>67</v>
      </c>
      <c r="F167" s="2">
        <v>312.29000000000002</v>
      </c>
      <c r="G167" s="2" t="s">
        <v>31</v>
      </c>
      <c r="H167" s="2">
        <v>9</v>
      </c>
      <c r="I167" s="2">
        <v>2810.62</v>
      </c>
      <c r="J167" s="2" t="s">
        <v>18</v>
      </c>
      <c r="K167" s="2" t="s">
        <v>34</v>
      </c>
      <c r="L167" s="2" t="s">
        <v>41</v>
      </c>
      <c r="M167" s="2" t="s">
        <v>141</v>
      </c>
      <c r="N167" s="2" t="s">
        <v>1050</v>
      </c>
      <c r="O167" s="2" t="s">
        <v>1047</v>
      </c>
      <c r="P167" t="s">
        <v>1079</v>
      </c>
      <c r="Q167">
        <v>2024</v>
      </c>
    </row>
    <row r="168" spans="1:17" x14ac:dyDescent="0.25">
      <c r="A168" s="1" t="s">
        <v>319</v>
      </c>
      <c r="B168" s="3">
        <v>45722</v>
      </c>
      <c r="C168" s="1" t="s">
        <v>320</v>
      </c>
      <c r="D168" s="1" t="s">
        <v>31</v>
      </c>
      <c r="E168" s="1" t="s">
        <v>45</v>
      </c>
      <c r="F168" s="2">
        <v>135.38999999999999</v>
      </c>
      <c r="G168" s="2" t="s">
        <v>32</v>
      </c>
      <c r="H168" s="2">
        <v>9</v>
      </c>
      <c r="I168" s="2">
        <v>1218.54</v>
      </c>
      <c r="J168" s="2" t="s">
        <v>18</v>
      </c>
      <c r="K168" s="2" t="s">
        <v>34</v>
      </c>
      <c r="L168" s="2" t="s">
        <v>35</v>
      </c>
      <c r="M168" s="2" t="s">
        <v>52</v>
      </c>
      <c r="N168" s="2" t="s">
        <v>1054</v>
      </c>
      <c r="O168" s="2" t="s">
        <v>1047</v>
      </c>
      <c r="P168" t="s">
        <v>1079</v>
      </c>
      <c r="Q168">
        <v>2025</v>
      </c>
    </row>
    <row r="169" spans="1:17" hidden="1" x14ac:dyDescent="0.25">
      <c r="A169" s="1" t="s">
        <v>321</v>
      </c>
      <c r="B169" s="3">
        <v>45632</v>
      </c>
      <c r="C169" s="1" t="s">
        <v>279</v>
      </c>
      <c r="D169" s="1" t="s">
        <v>24</v>
      </c>
      <c r="E169" s="1" t="s">
        <v>71</v>
      </c>
      <c r="F169" s="2">
        <v>156</v>
      </c>
      <c r="G169" s="2" t="s">
        <v>68</v>
      </c>
      <c r="H169" s="2">
        <v>15</v>
      </c>
      <c r="I169" s="2">
        <v>2340</v>
      </c>
      <c r="J169" s="2" t="s">
        <v>63</v>
      </c>
      <c r="K169" s="2" t="s">
        <v>19</v>
      </c>
      <c r="L169" s="2" t="s">
        <v>41</v>
      </c>
      <c r="M169" s="2" t="s">
        <v>76</v>
      </c>
      <c r="N169" s="2" t="s">
        <v>1061</v>
      </c>
      <c r="O169" s="2" t="s">
        <v>1058</v>
      </c>
      <c r="P169" t="s">
        <v>1079</v>
      </c>
      <c r="Q169">
        <v>2024</v>
      </c>
    </row>
    <row r="170" spans="1:17" hidden="1" x14ac:dyDescent="0.25">
      <c r="A170" s="1" t="s">
        <v>322</v>
      </c>
      <c r="B170" s="3">
        <v>45567</v>
      </c>
      <c r="C170" s="1" t="s">
        <v>135</v>
      </c>
      <c r="D170" s="1" t="s">
        <v>15</v>
      </c>
      <c r="E170" s="1" t="s">
        <v>45</v>
      </c>
      <c r="F170" s="2">
        <v>174.41</v>
      </c>
      <c r="G170" s="2" t="s">
        <v>17</v>
      </c>
      <c r="H170" s="2">
        <v>8</v>
      </c>
      <c r="I170" s="2">
        <v>1395.27</v>
      </c>
      <c r="J170" s="2" t="s">
        <v>18</v>
      </c>
      <c r="K170" s="2" t="s">
        <v>34</v>
      </c>
      <c r="L170" s="2" t="s">
        <v>20</v>
      </c>
      <c r="M170" s="2" t="s">
        <v>64</v>
      </c>
      <c r="N170" s="2" t="s">
        <v>1046</v>
      </c>
      <c r="O170" s="2" t="s">
        <v>1059</v>
      </c>
      <c r="P170" t="s">
        <v>1079</v>
      </c>
      <c r="Q170">
        <v>2024</v>
      </c>
    </row>
    <row r="171" spans="1:17" x14ac:dyDescent="0.25">
      <c r="A171" s="1" t="s">
        <v>323</v>
      </c>
      <c r="B171" s="3">
        <v>45805</v>
      </c>
      <c r="C171" s="1" t="s">
        <v>324</v>
      </c>
      <c r="D171" s="1" t="s">
        <v>55</v>
      </c>
      <c r="E171" s="1" t="s">
        <v>67</v>
      </c>
      <c r="F171" s="2">
        <v>94.6</v>
      </c>
      <c r="G171" s="2" t="s">
        <v>56</v>
      </c>
      <c r="H171" s="2">
        <v>7</v>
      </c>
      <c r="I171" s="2">
        <v>662.2</v>
      </c>
      <c r="J171" s="2" t="s">
        <v>18</v>
      </c>
      <c r="K171" s="2" t="s">
        <v>34</v>
      </c>
      <c r="L171" s="2" t="s">
        <v>35</v>
      </c>
      <c r="M171" s="2" t="s">
        <v>52</v>
      </c>
      <c r="N171" s="2" t="s">
        <v>1057</v>
      </c>
      <c r="O171" s="2" t="s">
        <v>1059</v>
      </c>
      <c r="P171" t="s">
        <v>1079</v>
      </c>
      <c r="Q171">
        <v>2025</v>
      </c>
    </row>
    <row r="172" spans="1:17" hidden="1" x14ac:dyDescent="0.25">
      <c r="A172" s="1" t="s">
        <v>325</v>
      </c>
      <c r="B172" s="3">
        <v>45387</v>
      </c>
      <c r="C172" s="1" t="s">
        <v>118</v>
      </c>
      <c r="D172" s="1" t="s">
        <v>55</v>
      </c>
      <c r="E172" s="1" t="s">
        <v>67</v>
      </c>
      <c r="F172" s="2">
        <v>151.33000000000001</v>
      </c>
      <c r="G172" s="2" t="s">
        <v>79</v>
      </c>
      <c r="H172" s="2">
        <v>9</v>
      </c>
      <c r="I172" s="2">
        <v>1362</v>
      </c>
      <c r="J172" s="2" t="s">
        <v>63</v>
      </c>
      <c r="K172" s="2" t="s">
        <v>34</v>
      </c>
      <c r="L172" s="2" t="s">
        <v>47</v>
      </c>
      <c r="M172" s="2" t="s">
        <v>85</v>
      </c>
      <c r="N172" s="2" t="s">
        <v>1048</v>
      </c>
      <c r="O172" s="2" t="s">
        <v>1058</v>
      </c>
      <c r="P172" t="s">
        <v>1079</v>
      </c>
      <c r="Q172">
        <v>2024</v>
      </c>
    </row>
    <row r="173" spans="1:17" x14ac:dyDescent="0.25">
      <c r="A173" s="1" t="s">
        <v>326</v>
      </c>
      <c r="B173" s="3">
        <v>45880</v>
      </c>
      <c r="C173" s="1" t="s">
        <v>327</v>
      </c>
      <c r="D173" s="1" t="s">
        <v>39</v>
      </c>
      <c r="E173" s="1" t="s">
        <v>71</v>
      </c>
      <c r="F173" s="2">
        <v>1352</v>
      </c>
      <c r="G173" s="2" t="s">
        <v>1083</v>
      </c>
      <c r="H173" s="2">
        <v>10</v>
      </c>
      <c r="I173" s="2">
        <v>13174.279999999999</v>
      </c>
      <c r="J173" s="2" t="s">
        <v>18</v>
      </c>
      <c r="K173" s="2" t="s">
        <v>19</v>
      </c>
      <c r="L173" s="2" t="s">
        <v>47</v>
      </c>
      <c r="M173" s="2" t="s">
        <v>48</v>
      </c>
      <c r="N173" s="2" t="s">
        <v>1051</v>
      </c>
      <c r="O173" s="2" t="s">
        <v>1056</v>
      </c>
      <c r="P173" t="s">
        <v>1078</v>
      </c>
      <c r="Q173">
        <v>2025</v>
      </c>
    </row>
    <row r="174" spans="1:17" x14ac:dyDescent="0.25">
      <c r="A174" s="1" t="s">
        <v>328</v>
      </c>
      <c r="B174" s="3">
        <v>45708</v>
      </c>
      <c r="C174" s="1" t="s">
        <v>204</v>
      </c>
      <c r="D174" s="1" t="s">
        <v>31</v>
      </c>
      <c r="E174" s="1" t="s">
        <v>45</v>
      </c>
      <c r="F174" s="2">
        <v>1571.8</v>
      </c>
      <c r="G174" s="2" t="s">
        <v>46</v>
      </c>
      <c r="H174" s="2">
        <v>1</v>
      </c>
      <c r="I174" s="2">
        <v>1571.8</v>
      </c>
      <c r="J174" s="2" t="s">
        <v>18</v>
      </c>
      <c r="K174" s="2" t="s">
        <v>34</v>
      </c>
      <c r="L174" s="2" t="s">
        <v>41</v>
      </c>
      <c r="M174" s="2" t="s">
        <v>42</v>
      </c>
      <c r="N174" s="2" t="s">
        <v>1060</v>
      </c>
      <c r="O174" s="2" t="s">
        <v>1047</v>
      </c>
      <c r="P174" t="s">
        <v>1079</v>
      </c>
      <c r="Q174">
        <v>2025</v>
      </c>
    </row>
    <row r="175" spans="1:17" hidden="1" x14ac:dyDescent="0.25">
      <c r="A175" s="1" t="s">
        <v>329</v>
      </c>
      <c r="B175" s="3">
        <v>45332</v>
      </c>
      <c r="C175" s="1" t="s">
        <v>167</v>
      </c>
      <c r="D175" s="1" t="s">
        <v>55</v>
      </c>
      <c r="E175" s="1" t="s">
        <v>25</v>
      </c>
      <c r="F175" s="2">
        <v>264.54000000000002</v>
      </c>
      <c r="G175" s="2" t="s">
        <v>90</v>
      </c>
      <c r="H175" s="2">
        <v>9</v>
      </c>
      <c r="I175" s="2">
        <v>2380.86</v>
      </c>
      <c r="J175" s="2" t="s">
        <v>18</v>
      </c>
      <c r="K175" s="2" t="s">
        <v>34</v>
      </c>
      <c r="L175" s="2" t="s">
        <v>20</v>
      </c>
      <c r="M175" s="2" t="s">
        <v>64</v>
      </c>
      <c r="N175" s="2" t="s">
        <v>1060</v>
      </c>
      <c r="O175" s="2" t="s">
        <v>1063</v>
      </c>
      <c r="P175" t="s">
        <v>1079</v>
      </c>
      <c r="Q175">
        <v>2024</v>
      </c>
    </row>
    <row r="176" spans="1:17" hidden="1" x14ac:dyDescent="0.25">
      <c r="A176" s="1" t="s">
        <v>330</v>
      </c>
      <c r="B176" s="3">
        <v>45579</v>
      </c>
      <c r="C176" s="1" t="s">
        <v>150</v>
      </c>
      <c r="D176" s="1" t="s">
        <v>55</v>
      </c>
      <c r="E176" s="1" t="s">
        <v>67</v>
      </c>
      <c r="F176" s="2">
        <v>297.27</v>
      </c>
      <c r="G176" s="2" t="s">
        <v>79</v>
      </c>
      <c r="H176" s="2">
        <v>11</v>
      </c>
      <c r="I176" s="2">
        <v>3270</v>
      </c>
      <c r="J176" s="2" t="s">
        <v>18</v>
      </c>
      <c r="K176" s="2" t="s">
        <v>19</v>
      </c>
      <c r="L176" s="2" t="s">
        <v>27</v>
      </c>
      <c r="M176" s="2" t="s">
        <v>161</v>
      </c>
      <c r="N176" s="2" t="s">
        <v>1046</v>
      </c>
      <c r="O176" s="2" t="s">
        <v>1056</v>
      </c>
      <c r="P176" t="s">
        <v>1079</v>
      </c>
      <c r="Q176">
        <v>2024</v>
      </c>
    </row>
    <row r="177" spans="1:17" hidden="1" x14ac:dyDescent="0.25">
      <c r="A177" s="1" t="s">
        <v>331</v>
      </c>
      <c r="B177" s="3">
        <v>45354</v>
      </c>
      <c r="C177" s="1" t="s">
        <v>332</v>
      </c>
      <c r="D177" s="1" t="s">
        <v>55</v>
      </c>
      <c r="E177" s="1" t="s">
        <v>45</v>
      </c>
      <c r="F177" s="2">
        <v>187.03</v>
      </c>
      <c r="G177" s="2" t="s">
        <v>148</v>
      </c>
      <c r="H177" s="2">
        <v>10</v>
      </c>
      <c r="I177" s="2">
        <v>1870.33</v>
      </c>
      <c r="J177" s="2" t="s">
        <v>63</v>
      </c>
      <c r="K177" s="2" t="s">
        <v>34</v>
      </c>
      <c r="L177" s="2" t="s">
        <v>41</v>
      </c>
      <c r="M177" s="2" t="s">
        <v>42</v>
      </c>
      <c r="N177" s="2" t="s">
        <v>1054</v>
      </c>
      <c r="O177" s="2" t="s">
        <v>1055</v>
      </c>
      <c r="P177" t="s">
        <v>1079</v>
      </c>
      <c r="Q177">
        <v>2024</v>
      </c>
    </row>
    <row r="178" spans="1:17" x14ac:dyDescent="0.25">
      <c r="A178" s="1" t="s">
        <v>333</v>
      </c>
      <c r="B178" s="3">
        <v>45896</v>
      </c>
      <c r="C178" s="1" t="s">
        <v>256</v>
      </c>
      <c r="D178" s="1" t="s">
        <v>55</v>
      </c>
      <c r="E178" s="1" t="s">
        <v>45</v>
      </c>
      <c r="F178" s="2">
        <v>270.94</v>
      </c>
      <c r="G178" s="2" t="s">
        <v>56</v>
      </c>
      <c r="H178" s="2">
        <v>10</v>
      </c>
      <c r="I178" s="2">
        <v>2709.42</v>
      </c>
      <c r="J178" s="2" t="s">
        <v>18</v>
      </c>
      <c r="K178" s="2" t="s">
        <v>34</v>
      </c>
      <c r="L178" s="2" t="s">
        <v>47</v>
      </c>
      <c r="M178" s="2" t="s">
        <v>85</v>
      </c>
      <c r="N178" s="2" t="s">
        <v>1051</v>
      </c>
      <c r="O178" s="2" t="s">
        <v>1059</v>
      </c>
      <c r="P178" t="s">
        <v>1079</v>
      </c>
      <c r="Q178">
        <v>2025</v>
      </c>
    </row>
    <row r="179" spans="1:17" x14ac:dyDescent="0.25">
      <c r="A179" s="1" t="s">
        <v>334</v>
      </c>
      <c r="B179" s="3">
        <v>45763</v>
      </c>
      <c r="C179" s="1" t="s">
        <v>116</v>
      </c>
      <c r="D179" s="1" t="s">
        <v>24</v>
      </c>
      <c r="E179" s="1" t="s">
        <v>71</v>
      </c>
      <c r="F179" s="2">
        <v>173.26</v>
      </c>
      <c r="G179" s="2" t="s">
        <v>26</v>
      </c>
      <c r="H179" s="2">
        <v>9</v>
      </c>
      <c r="I179" s="2">
        <v>1559.34</v>
      </c>
      <c r="J179" s="2" t="s">
        <v>18</v>
      </c>
      <c r="K179" s="2" t="s">
        <v>34</v>
      </c>
      <c r="L179" s="2" t="s">
        <v>47</v>
      </c>
      <c r="M179" s="2" t="s">
        <v>85</v>
      </c>
      <c r="N179" s="2" t="s">
        <v>1048</v>
      </c>
      <c r="O179" s="2" t="s">
        <v>1059</v>
      </c>
      <c r="P179" t="s">
        <v>1079</v>
      </c>
      <c r="Q179">
        <v>2025</v>
      </c>
    </row>
    <row r="180" spans="1:17" hidden="1" x14ac:dyDescent="0.25">
      <c r="A180" s="1" t="s">
        <v>335</v>
      </c>
      <c r="B180" s="3">
        <v>45607</v>
      </c>
      <c r="C180" s="1" t="s">
        <v>196</v>
      </c>
      <c r="D180" s="1" t="s">
        <v>55</v>
      </c>
      <c r="E180" s="1" t="s">
        <v>16</v>
      </c>
      <c r="F180" s="2">
        <v>247.42</v>
      </c>
      <c r="G180" s="2" t="s">
        <v>148</v>
      </c>
      <c r="H180" s="2">
        <v>9</v>
      </c>
      <c r="I180" s="2">
        <v>2226.7800000000002</v>
      </c>
      <c r="J180" s="2" t="s">
        <v>63</v>
      </c>
      <c r="K180" s="2" t="s">
        <v>34</v>
      </c>
      <c r="L180" s="2" t="s">
        <v>27</v>
      </c>
      <c r="M180" s="2" t="s">
        <v>28</v>
      </c>
      <c r="N180" s="2" t="s">
        <v>1064</v>
      </c>
      <c r="O180" s="2" t="s">
        <v>1056</v>
      </c>
      <c r="P180" t="s">
        <v>1079</v>
      </c>
      <c r="Q180">
        <v>2024</v>
      </c>
    </row>
    <row r="181" spans="1:17" x14ac:dyDescent="0.25">
      <c r="A181" s="1" t="s">
        <v>336</v>
      </c>
      <c r="B181" s="3">
        <v>45808</v>
      </c>
      <c r="C181" s="1" t="s">
        <v>337</v>
      </c>
      <c r="D181" s="1" t="s">
        <v>15</v>
      </c>
      <c r="E181" s="1" t="s">
        <v>71</v>
      </c>
      <c r="F181" s="2">
        <v>238.87</v>
      </c>
      <c r="G181" s="2" t="s">
        <v>82</v>
      </c>
      <c r="H181" s="2">
        <v>12</v>
      </c>
      <c r="I181" s="2">
        <v>2866.49</v>
      </c>
      <c r="J181" s="2" t="s">
        <v>18</v>
      </c>
      <c r="K181" s="2" t="s">
        <v>19</v>
      </c>
      <c r="L181" s="2" t="s">
        <v>35</v>
      </c>
      <c r="M181" s="2" t="s">
        <v>36</v>
      </c>
      <c r="N181" s="2" t="s">
        <v>1057</v>
      </c>
      <c r="O181" s="2" t="s">
        <v>1063</v>
      </c>
      <c r="P181" t="s">
        <v>1079</v>
      </c>
      <c r="Q181">
        <v>2025</v>
      </c>
    </row>
    <row r="182" spans="1:17" x14ac:dyDescent="0.25">
      <c r="A182" s="1" t="s">
        <v>338</v>
      </c>
      <c r="B182" s="3">
        <v>45817</v>
      </c>
      <c r="C182" s="1" t="s">
        <v>196</v>
      </c>
      <c r="D182" s="1" t="s">
        <v>55</v>
      </c>
      <c r="E182" s="1" t="s">
        <v>16</v>
      </c>
      <c r="F182" s="2">
        <v>166.05</v>
      </c>
      <c r="G182" s="2" t="s">
        <v>148</v>
      </c>
      <c r="H182" s="2">
        <v>11</v>
      </c>
      <c r="I182" s="2">
        <v>1826.56</v>
      </c>
      <c r="J182" s="2" t="s">
        <v>18</v>
      </c>
      <c r="K182" s="2" t="s">
        <v>19</v>
      </c>
      <c r="L182" s="2" t="s">
        <v>27</v>
      </c>
      <c r="M182" s="2" t="s">
        <v>161</v>
      </c>
      <c r="N182" s="2" t="s">
        <v>1062</v>
      </c>
      <c r="O182" s="2" t="s">
        <v>1056</v>
      </c>
      <c r="P182" t="s">
        <v>1079</v>
      </c>
      <c r="Q182">
        <v>2025</v>
      </c>
    </row>
    <row r="183" spans="1:17" hidden="1" x14ac:dyDescent="0.25">
      <c r="A183" s="1" t="s">
        <v>339</v>
      </c>
      <c r="B183" s="3">
        <v>45389</v>
      </c>
      <c r="C183" s="1" t="s">
        <v>240</v>
      </c>
      <c r="D183" s="1" t="s">
        <v>39</v>
      </c>
      <c r="E183" s="1" t="s">
        <v>45</v>
      </c>
      <c r="F183" s="2">
        <v>79.2</v>
      </c>
      <c r="G183" s="2" t="s">
        <v>136</v>
      </c>
      <c r="H183" s="2">
        <v>12</v>
      </c>
      <c r="I183" s="2">
        <v>950.34</v>
      </c>
      <c r="J183" s="2" t="s">
        <v>63</v>
      </c>
      <c r="K183" s="2" t="s">
        <v>19</v>
      </c>
      <c r="L183" s="2" t="s">
        <v>20</v>
      </c>
      <c r="M183" s="2" t="s">
        <v>88</v>
      </c>
      <c r="N183" s="2" t="s">
        <v>1048</v>
      </c>
      <c r="O183" s="2" t="s">
        <v>1055</v>
      </c>
      <c r="P183" t="s">
        <v>1079</v>
      </c>
      <c r="Q183">
        <v>2024</v>
      </c>
    </row>
    <row r="184" spans="1:17" hidden="1" x14ac:dyDescent="0.25">
      <c r="A184" s="1" t="s">
        <v>340</v>
      </c>
      <c r="B184" s="3">
        <v>45324</v>
      </c>
      <c r="C184" s="1" t="s">
        <v>320</v>
      </c>
      <c r="D184" s="1" t="s">
        <v>24</v>
      </c>
      <c r="E184" s="1" t="s">
        <v>45</v>
      </c>
      <c r="F184" s="2">
        <v>7.65</v>
      </c>
      <c r="G184" s="2" t="s">
        <v>75</v>
      </c>
      <c r="H184" s="2">
        <v>104</v>
      </c>
      <c r="I184" s="2">
        <v>795.94</v>
      </c>
      <c r="J184" s="2" t="s">
        <v>18</v>
      </c>
      <c r="K184" s="2" t="s">
        <v>19</v>
      </c>
      <c r="L184" s="2" t="s">
        <v>20</v>
      </c>
      <c r="M184" s="2" t="s">
        <v>88</v>
      </c>
      <c r="N184" s="2" t="s">
        <v>1060</v>
      </c>
      <c r="O184" s="2" t="s">
        <v>1058</v>
      </c>
      <c r="P184" t="s">
        <v>1079</v>
      </c>
      <c r="Q184">
        <v>2024</v>
      </c>
    </row>
    <row r="185" spans="1:17" hidden="1" x14ac:dyDescent="0.25">
      <c r="A185" s="1" t="s">
        <v>341</v>
      </c>
      <c r="B185" s="3">
        <v>45318</v>
      </c>
      <c r="C185" s="1" t="s">
        <v>121</v>
      </c>
      <c r="D185" s="1" t="s">
        <v>39</v>
      </c>
      <c r="E185" s="1" t="s">
        <v>25</v>
      </c>
      <c r="F185" s="2">
        <v>157.81</v>
      </c>
      <c r="G185" s="2" t="s">
        <v>136</v>
      </c>
      <c r="H185" s="2">
        <v>7</v>
      </c>
      <c r="I185" s="2">
        <v>1104.67</v>
      </c>
      <c r="J185" s="2" t="s">
        <v>18</v>
      </c>
      <c r="K185" s="2" t="s">
        <v>34</v>
      </c>
      <c r="L185" s="2" t="s">
        <v>20</v>
      </c>
      <c r="M185" s="2" t="s">
        <v>88</v>
      </c>
      <c r="N185" s="2" t="s">
        <v>1050</v>
      </c>
      <c r="O185" s="2" t="s">
        <v>1063</v>
      </c>
      <c r="P185" t="s">
        <v>1079</v>
      </c>
      <c r="Q185">
        <v>2024</v>
      </c>
    </row>
    <row r="186" spans="1:17" hidden="1" x14ac:dyDescent="0.25">
      <c r="A186" s="1" t="s">
        <v>342</v>
      </c>
      <c r="B186" s="3">
        <v>45579</v>
      </c>
      <c r="C186" s="1" t="s">
        <v>290</v>
      </c>
      <c r="D186" s="1" t="s">
        <v>55</v>
      </c>
      <c r="E186" s="1" t="s">
        <v>71</v>
      </c>
      <c r="F186" s="2">
        <v>181.46</v>
      </c>
      <c r="G186" s="2" t="s">
        <v>56</v>
      </c>
      <c r="H186" s="2">
        <v>13</v>
      </c>
      <c r="I186" s="2">
        <v>2359.0300000000002</v>
      </c>
      <c r="J186" s="2" t="s">
        <v>18</v>
      </c>
      <c r="K186" s="2" t="s">
        <v>19</v>
      </c>
      <c r="L186" s="2" t="s">
        <v>20</v>
      </c>
      <c r="M186" s="2" t="s">
        <v>64</v>
      </c>
      <c r="N186" s="2" t="s">
        <v>1046</v>
      </c>
      <c r="O186" s="2" t="s">
        <v>1056</v>
      </c>
      <c r="P186" t="s">
        <v>1079</v>
      </c>
      <c r="Q186">
        <v>2024</v>
      </c>
    </row>
    <row r="187" spans="1:17" x14ac:dyDescent="0.25">
      <c r="A187" s="1" t="s">
        <v>343</v>
      </c>
      <c r="B187" s="3">
        <v>45700</v>
      </c>
      <c r="C187" s="1" t="s">
        <v>38</v>
      </c>
      <c r="D187" s="1" t="s">
        <v>39</v>
      </c>
      <c r="E187" s="1" t="s">
        <v>71</v>
      </c>
      <c r="F187" s="2">
        <v>167.59</v>
      </c>
      <c r="G187" s="2" t="s">
        <v>40</v>
      </c>
      <c r="H187" s="2">
        <v>8</v>
      </c>
      <c r="I187" s="2">
        <v>1340.75</v>
      </c>
      <c r="J187" s="2" t="s">
        <v>18</v>
      </c>
      <c r="K187" s="2" t="s">
        <v>34</v>
      </c>
      <c r="L187" s="2" t="s">
        <v>41</v>
      </c>
      <c r="M187" s="2" t="s">
        <v>76</v>
      </c>
      <c r="N187" s="2" t="s">
        <v>1060</v>
      </c>
      <c r="O187" s="2" t="s">
        <v>1059</v>
      </c>
      <c r="P187" t="s">
        <v>1079</v>
      </c>
      <c r="Q187">
        <v>2025</v>
      </c>
    </row>
    <row r="188" spans="1:17" x14ac:dyDescent="0.25">
      <c r="A188" s="1" t="s">
        <v>344</v>
      </c>
      <c r="B188" s="3">
        <v>45735</v>
      </c>
      <c r="C188" s="1" t="s">
        <v>84</v>
      </c>
      <c r="D188" s="1" t="s">
        <v>24</v>
      </c>
      <c r="E188" s="1" t="s">
        <v>71</v>
      </c>
      <c r="F188" s="2">
        <v>1667.83</v>
      </c>
      <c r="G188" s="2" t="s">
        <v>170</v>
      </c>
      <c r="H188" s="2">
        <v>1</v>
      </c>
      <c r="I188" s="2">
        <v>1667.83</v>
      </c>
      <c r="J188" s="2" t="s">
        <v>18</v>
      </c>
      <c r="K188" s="2" t="s">
        <v>34</v>
      </c>
      <c r="L188" s="2" t="s">
        <v>27</v>
      </c>
      <c r="M188" s="2" t="s">
        <v>59</v>
      </c>
      <c r="N188" s="2" t="s">
        <v>1054</v>
      </c>
      <c r="O188" s="2" t="s">
        <v>1059</v>
      </c>
      <c r="P188" t="s">
        <v>1079</v>
      </c>
      <c r="Q188">
        <v>2025</v>
      </c>
    </row>
    <row r="189" spans="1:17" hidden="1" x14ac:dyDescent="0.25">
      <c r="A189" s="1" t="s">
        <v>345</v>
      </c>
      <c r="B189" s="3">
        <v>45539</v>
      </c>
      <c r="C189" s="1" t="s">
        <v>302</v>
      </c>
      <c r="D189" s="1" t="s">
        <v>55</v>
      </c>
      <c r="E189" s="1" t="s">
        <v>16</v>
      </c>
      <c r="F189" s="2">
        <v>172.95</v>
      </c>
      <c r="G189" s="2" t="s">
        <v>79</v>
      </c>
      <c r="H189" s="2">
        <v>11</v>
      </c>
      <c r="I189" s="2">
        <v>1902.4</v>
      </c>
      <c r="J189" s="2" t="s">
        <v>18</v>
      </c>
      <c r="K189" s="2" t="s">
        <v>19</v>
      </c>
      <c r="L189" s="2" t="s">
        <v>20</v>
      </c>
      <c r="M189" s="2" t="s">
        <v>64</v>
      </c>
      <c r="N189" s="2" t="s">
        <v>1049</v>
      </c>
      <c r="O189" s="2" t="s">
        <v>1059</v>
      </c>
      <c r="P189" t="s">
        <v>1079</v>
      </c>
      <c r="Q189">
        <v>2024</v>
      </c>
    </row>
    <row r="190" spans="1:17" hidden="1" x14ac:dyDescent="0.25">
      <c r="A190" s="1" t="s">
        <v>346</v>
      </c>
      <c r="B190" s="3">
        <v>45359</v>
      </c>
      <c r="C190" s="1" t="s">
        <v>256</v>
      </c>
      <c r="D190" s="1" t="s">
        <v>55</v>
      </c>
      <c r="E190" s="1" t="s">
        <v>45</v>
      </c>
      <c r="F190" s="2">
        <v>227.85</v>
      </c>
      <c r="G190" s="2" t="s">
        <v>56</v>
      </c>
      <c r="H190" s="2">
        <v>15</v>
      </c>
      <c r="I190" s="2">
        <v>3417.73</v>
      </c>
      <c r="J190" s="2" t="s">
        <v>18</v>
      </c>
      <c r="K190" s="2" t="s">
        <v>19</v>
      </c>
      <c r="L190" s="2" t="s">
        <v>41</v>
      </c>
      <c r="M190" s="2" t="s">
        <v>76</v>
      </c>
      <c r="N190" s="2" t="s">
        <v>1054</v>
      </c>
      <c r="O190" s="2" t="s">
        <v>1058</v>
      </c>
      <c r="P190" t="s">
        <v>1079</v>
      </c>
      <c r="Q190">
        <v>2024</v>
      </c>
    </row>
    <row r="191" spans="1:17" hidden="1" x14ac:dyDescent="0.25">
      <c r="A191" s="1" t="s">
        <v>347</v>
      </c>
      <c r="B191" s="3">
        <v>45419</v>
      </c>
      <c r="C191" s="1" t="s">
        <v>348</v>
      </c>
      <c r="D191" s="1" t="s">
        <v>24</v>
      </c>
      <c r="E191" s="1" t="s">
        <v>16</v>
      </c>
      <c r="F191" s="2">
        <v>135.66</v>
      </c>
      <c r="G191" s="2" t="s">
        <v>26</v>
      </c>
      <c r="H191" s="2">
        <v>13</v>
      </c>
      <c r="I191" s="2">
        <v>1763.59</v>
      </c>
      <c r="J191" s="2" t="s">
        <v>63</v>
      </c>
      <c r="K191" s="2" t="s">
        <v>19</v>
      </c>
      <c r="L191" s="2" t="s">
        <v>27</v>
      </c>
      <c r="M191" s="2" t="s">
        <v>59</v>
      </c>
      <c r="N191" s="2" t="s">
        <v>1057</v>
      </c>
      <c r="O191" s="2" t="s">
        <v>1053</v>
      </c>
      <c r="P191" t="s">
        <v>1079</v>
      </c>
      <c r="Q191">
        <v>2024</v>
      </c>
    </row>
    <row r="192" spans="1:17" x14ac:dyDescent="0.25">
      <c r="A192" s="1" t="s">
        <v>349</v>
      </c>
      <c r="B192" s="3">
        <v>45830</v>
      </c>
      <c r="C192" s="1" t="s">
        <v>61</v>
      </c>
      <c r="D192" s="1" t="s">
        <v>15</v>
      </c>
      <c r="E192" s="1" t="s">
        <v>25</v>
      </c>
      <c r="F192" s="2">
        <v>138.28</v>
      </c>
      <c r="G192" s="2" t="s">
        <v>62</v>
      </c>
      <c r="H192" s="2">
        <v>8</v>
      </c>
      <c r="I192" s="2">
        <v>1106.24</v>
      </c>
      <c r="J192" s="2" t="s">
        <v>18</v>
      </c>
      <c r="K192" s="2" t="s">
        <v>34</v>
      </c>
      <c r="L192" s="2" t="s">
        <v>35</v>
      </c>
      <c r="M192" s="2" t="s">
        <v>36</v>
      </c>
      <c r="N192" s="2" t="s">
        <v>1062</v>
      </c>
      <c r="O192" s="2" t="s">
        <v>1055</v>
      </c>
      <c r="P192" t="s">
        <v>1079</v>
      </c>
      <c r="Q192">
        <v>2025</v>
      </c>
    </row>
    <row r="193" spans="1:17" hidden="1" x14ac:dyDescent="0.25">
      <c r="A193" s="1" t="s">
        <v>350</v>
      </c>
      <c r="B193" s="3">
        <v>45419</v>
      </c>
      <c r="C193" s="1" t="s">
        <v>351</v>
      </c>
      <c r="D193" s="1" t="s">
        <v>39</v>
      </c>
      <c r="E193" s="1" t="s">
        <v>25</v>
      </c>
      <c r="F193" s="2">
        <v>85.02</v>
      </c>
      <c r="G193" s="2" t="s">
        <v>72</v>
      </c>
      <c r="H193" s="2">
        <v>14</v>
      </c>
      <c r="I193" s="2">
        <v>1190.3399999999999</v>
      </c>
      <c r="J193" s="2" t="s">
        <v>18</v>
      </c>
      <c r="K193" s="2" t="s">
        <v>19</v>
      </c>
      <c r="L193" s="2" t="s">
        <v>41</v>
      </c>
      <c r="M193" s="2" t="s">
        <v>42</v>
      </c>
      <c r="N193" s="2" t="s">
        <v>1057</v>
      </c>
      <c r="O193" s="2" t="s">
        <v>1053</v>
      </c>
      <c r="P193" t="s">
        <v>1079</v>
      </c>
      <c r="Q193">
        <v>2024</v>
      </c>
    </row>
    <row r="194" spans="1:17" hidden="1" x14ac:dyDescent="0.25">
      <c r="A194" s="1" t="s">
        <v>352</v>
      </c>
      <c r="B194" s="3">
        <v>45603</v>
      </c>
      <c r="C194" s="1" t="s">
        <v>353</v>
      </c>
      <c r="D194" s="1" t="s">
        <v>55</v>
      </c>
      <c r="E194" s="1" t="s">
        <v>67</v>
      </c>
      <c r="F194" s="2">
        <v>15.61</v>
      </c>
      <c r="G194" s="2" t="s">
        <v>148</v>
      </c>
      <c r="H194" s="2">
        <v>69</v>
      </c>
      <c r="I194" s="2">
        <v>1077.1300000000001</v>
      </c>
      <c r="J194" s="2" t="s">
        <v>18</v>
      </c>
      <c r="K194" s="2" t="s">
        <v>19</v>
      </c>
      <c r="L194" s="2" t="s">
        <v>27</v>
      </c>
      <c r="M194" s="2" t="s">
        <v>28</v>
      </c>
      <c r="N194" s="2" t="s">
        <v>1064</v>
      </c>
      <c r="O194" s="2" t="s">
        <v>1047</v>
      </c>
      <c r="P194" t="s">
        <v>1079</v>
      </c>
      <c r="Q194">
        <v>2024</v>
      </c>
    </row>
    <row r="195" spans="1:17" hidden="1" x14ac:dyDescent="0.25">
      <c r="A195" s="1" t="s">
        <v>354</v>
      </c>
      <c r="B195" s="3">
        <v>45417</v>
      </c>
      <c r="C195" s="1" t="s">
        <v>279</v>
      </c>
      <c r="D195" s="1" t="s">
        <v>15</v>
      </c>
      <c r="E195" s="1" t="s">
        <v>16</v>
      </c>
      <c r="F195" s="2">
        <v>143.69999999999999</v>
      </c>
      <c r="G195" s="2" t="s">
        <v>51</v>
      </c>
      <c r="H195" s="2">
        <v>10</v>
      </c>
      <c r="I195" s="2">
        <v>1437</v>
      </c>
      <c r="J195" s="2" t="s">
        <v>18</v>
      </c>
      <c r="K195" s="2" t="s">
        <v>34</v>
      </c>
      <c r="L195" s="2" t="s">
        <v>41</v>
      </c>
      <c r="M195" s="2" t="s">
        <v>76</v>
      </c>
      <c r="N195" s="2" t="s">
        <v>1057</v>
      </c>
      <c r="O195" s="2" t="s">
        <v>1055</v>
      </c>
      <c r="P195" t="s">
        <v>1079</v>
      </c>
      <c r="Q195">
        <v>2024</v>
      </c>
    </row>
    <row r="196" spans="1:17" x14ac:dyDescent="0.25">
      <c r="A196" s="1" t="s">
        <v>355</v>
      </c>
      <c r="B196" s="3">
        <v>45760</v>
      </c>
      <c r="C196" s="1" t="s">
        <v>61</v>
      </c>
      <c r="D196" s="1" t="s">
        <v>15</v>
      </c>
      <c r="E196" s="1" t="s">
        <v>45</v>
      </c>
      <c r="F196" s="2">
        <v>1839.56</v>
      </c>
      <c r="G196" s="2" t="s">
        <v>51</v>
      </c>
      <c r="H196" s="2">
        <v>1</v>
      </c>
      <c r="I196" s="2">
        <v>1839.56</v>
      </c>
      <c r="J196" s="2" t="s">
        <v>18</v>
      </c>
      <c r="K196" s="2" t="s">
        <v>34</v>
      </c>
      <c r="L196" s="2" t="s">
        <v>27</v>
      </c>
      <c r="M196" s="2" t="s">
        <v>28</v>
      </c>
      <c r="N196" s="2" t="s">
        <v>1048</v>
      </c>
      <c r="O196" s="2" t="s">
        <v>1055</v>
      </c>
      <c r="P196" t="s">
        <v>1079</v>
      </c>
      <c r="Q196">
        <v>2025</v>
      </c>
    </row>
    <row r="197" spans="1:17" hidden="1" x14ac:dyDescent="0.25">
      <c r="A197" s="1" t="s">
        <v>356</v>
      </c>
      <c r="B197" s="3">
        <v>45559</v>
      </c>
      <c r="C197" s="1" t="s">
        <v>348</v>
      </c>
      <c r="D197" s="1" t="s">
        <v>55</v>
      </c>
      <c r="E197" s="1" t="s">
        <v>25</v>
      </c>
      <c r="F197" s="2">
        <v>22.41</v>
      </c>
      <c r="G197" s="2" t="s">
        <v>148</v>
      </c>
      <c r="H197" s="2">
        <v>112</v>
      </c>
      <c r="I197" s="2">
        <v>2510.34</v>
      </c>
      <c r="J197" s="2" t="s">
        <v>18</v>
      </c>
      <c r="K197" s="2" t="s">
        <v>19</v>
      </c>
      <c r="L197" s="2" t="s">
        <v>47</v>
      </c>
      <c r="M197" s="2" t="s">
        <v>85</v>
      </c>
      <c r="N197" s="2" t="s">
        <v>1049</v>
      </c>
      <c r="O197" s="2" t="s">
        <v>1053</v>
      </c>
      <c r="P197" t="s">
        <v>1079</v>
      </c>
      <c r="Q197">
        <v>2024</v>
      </c>
    </row>
    <row r="198" spans="1:17" x14ac:dyDescent="0.25">
      <c r="A198" s="1" t="s">
        <v>357</v>
      </c>
      <c r="B198" s="3">
        <v>45702</v>
      </c>
      <c r="C198" s="1" t="s">
        <v>58</v>
      </c>
      <c r="D198" s="1" t="s">
        <v>31</v>
      </c>
      <c r="E198" s="1" t="s">
        <v>67</v>
      </c>
      <c r="F198" s="2">
        <v>400</v>
      </c>
      <c r="G198" s="2" t="s">
        <v>32</v>
      </c>
      <c r="H198" s="2">
        <v>9</v>
      </c>
      <c r="I198" s="2">
        <v>3600</v>
      </c>
      <c r="J198" s="2" t="s">
        <v>18</v>
      </c>
      <c r="K198" s="2" t="s">
        <v>19</v>
      </c>
      <c r="L198" s="2" t="s">
        <v>41</v>
      </c>
      <c r="M198" s="2" t="s">
        <v>141</v>
      </c>
      <c r="N198" s="2" t="s">
        <v>1060</v>
      </c>
      <c r="O198" s="2" t="s">
        <v>1058</v>
      </c>
      <c r="P198" t="s">
        <v>1079</v>
      </c>
      <c r="Q198">
        <v>2025</v>
      </c>
    </row>
    <row r="199" spans="1:17" x14ac:dyDescent="0.25">
      <c r="A199" s="1" t="s">
        <v>358</v>
      </c>
      <c r="B199" s="3">
        <v>45799</v>
      </c>
      <c r="C199" s="1" t="s">
        <v>284</v>
      </c>
      <c r="D199" s="1" t="s">
        <v>31</v>
      </c>
      <c r="E199" s="1" t="s">
        <v>16</v>
      </c>
      <c r="F199" s="2">
        <v>187.91</v>
      </c>
      <c r="G199" s="2" t="s">
        <v>32</v>
      </c>
      <c r="H199" s="2">
        <v>13</v>
      </c>
      <c r="I199" s="2">
        <v>2442.83</v>
      </c>
      <c r="J199" s="2" t="s">
        <v>63</v>
      </c>
      <c r="K199" s="2" t="s">
        <v>19</v>
      </c>
      <c r="L199" s="2" t="s">
        <v>35</v>
      </c>
      <c r="M199" s="2" t="s">
        <v>126</v>
      </c>
      <c r="N199" s="2" t="s">
        <v>1057</v>
      </c>
      <c r="O199" s="2" t="s">
        <v>1047</v>
      </c>
      <c r="P199" t="s">
        <v>1079</v>
      </c>
      <c r="Q199">
        <v>2025</v>
      </c>
    </row>
    <row r="200" spans="1:17" x14ac:dyDescent="0.25">
      <c r="A200" s="1" t="s">
        <v>359</v>
      </c>
      <c r="B200" s="3">
        <v>45916</v>
      </c>
      <c r="C200" s="1" t="s">
        <v>360</v>
      </c>
      <c r="D200" s="1" t="s">
        <v>31</v>
      </c>
      <c r="E200" s="1" t="s">
        <v>71</v>
      </c>
      <c r="F200" s="2">
        <v>287.5</v>
      </c>
      <c r="G200" s="2" t="s">
        <v>46</v>
      </c>
      <c r="H200" s="2">
        <v>6</v>
      </c>
      <c r="I200" s="2">
        <v>1725</v>
      </c>
      <c r="J200" s="2" t="s">
        <v>18</v>
      </c>
      <c r="K200" s="2" t="s">
        <v>34</v>
      </c>
      <c r="L200" s="2" t="s">
        <v>20</v>
      </c>
      <c r="M200" s="2" t="s">
        <v>88</v>
      </c>
      <c r="N200" s="2" t="s">
        <v>1049</v>
      </c>
      <c r="O200" s="2" t="s">
        <v>1053</v>
      </c>
      <c r="P200" t="s">
        <v>1079</v>
      </c>
      <c r="Q200">
        <v>2025</v>
      </c>
    </row>
    <row r="201" spans="1:17" hidden="1" x14ac:dyDescent="0.25">
      <c r="A201" s="1" t="s">
        <v>361</v>
      </c>
      <c r="B201" s="3">
        <v>45304</v>
      </c>
      <c r="C201" s="1" t="s">
        <v>152</v>
      </c>
      <c r="D201" s="1" t="s">
        <v>55</v>
      </c>
      <c r="E201" s="1" t="s">
        <v>16</v>
      </c>
      <c r="F201" s="2">
        <v>170.74</v>
      </c>
      <c r="G201" s="2" t="s">
        <v>148</v>
      </c>
      <c r="H201" s="2">
        <v>7</v>
      </c>
      <c r="I201" s="2">
        <v>1195.1500000000001</v>
      </c>
      <c r="J201" s="2" t="s">
        <v>18</v>
      </c>
      <c r="K201" s="2" t="s">
        <v>34</v>
      </c>
      <c r="L201" s="2" t="s">
        <v>47</v>
      </c>
      <c r="M201" s="2" t="s">
        <v>48</v>
      </c>
      <c r="N201" s="2" t="s">
        <v>1050</v>
      </c>
      <c r="O201" s="2" t="s">
        <v>1063</v>
      </c>
      <c r="P201" t="s">
        <v>1079</v>
      </c>
      <c r="Q201">
        <v>2024</v>
      </c>
    </row>
    <row r="202" spans="1:17" x14ac:dyDescent="0.25">
      <c r="A202" s="1" t="s">
        <v>362</v>
      </c>
      <c r="B202" s="3">
        <v>45883</v>
      </c>
      <c r="C202" s="1" t="s">
        <v>363</v>
      </c>
      <c r="D202" s="1" t="s">
        <v>31</v>
      </c>
      <c r="E202" s="1" t="s">
        <v>45</v>
      </c>
      <c r="F202" s="2">
        <v>381.76</v>
      </c>
      <c r="G202" s="2" t="s">
        <v>32</v>
      </c>
      <c r="H202" s="2">
        <v>11</v>
      </c>
      <c r="I202" s="2">
        <v>4199.38</v>
      </c>
      <c r="J202" s="2" t="s">
        <v>33</v>
      </c>
      <c r="K202" s="2" t="s">
        <v>19</v>
      </c>
      <c r="L202" s="2" t="s">
        <v>27</v>
      </c>
      <c r="M202" s="2" t="s">
        <v>59</v>
      </c>
      <c r="N202" s="2" t="s">
        <v>1051</v>
      </c>
      <c r="O202" s="2" t="s">
        <v>1047</v>
      </c>
      <c r="P202" t="s">
        <v>1078</v>
      </c>
      <c r="Q202">
        <v>2025</v>
      </c>
    </row>
    <row r="203" spans="1:17" x14ac:dyDescent="0.25">
      <c r="A203" s="1" t="s">
        <v>364</v>
      </c>
      <c r="B203" s="3">
        <v>45691</v>
      </c>
      <c r="C203" s="1" t="s">
        <v>121</v>
      </c>
      <c r="D203" s="1" t="s">
        <v>24</v>
      </c>
      <c r="E203" s="1" t="s">
        <v>71</v>
      </c>
      <c r="F203" s="2">
        <v>254.75</v>
      </c>
      <c r="G203" s="2" t="s">
        <v>68</v>
      </c>
      <c r="H203" s="2">
        <v>8</v>
      </c>
      <c r="I203" s="2">
        <v>2038</v>
      </c>
      <c r="J203" s="2" t="s">
        <v>18</v>
      </c>
      <c r="K203" s="2" t="s">
        <v>34</v>
      </c>
      <c r="L203" s="2" t="s">
        <v>20</v>
      </c>
      <c r="M203" s="2" t="s">
        <v>88</v>
      </c>
      <c r="N203" s="2" t="s">
        <v>1060</v>
      </c>
      <c r="O203" s="2" t="s">
        <v>1056</v>
      </c>
      <c r="P203" t="s">
        <v>1079</v>
      </c>
      <c r="Q203">
        <v>2025</v>
      </c>
    </row>
    <row r="204" spans="1:17" x14ac:dyDescent="0.25">
      <c r="A204" s="1" t="s">
        <v>365</v>
      </c>
      <c r="B204" s="3">
        <v>45779</v>
      </c>
      <c r="C204" s="1" t="s">
        <v>360</v>
      </c>
      <c r="D204" s="1" t="s">
        <v>15</v>
      </c>
      <c r="E204" s="1" t="s">
        <v>16</v>
      </c>
      <c r="F204" s="2">
        <v>195.38</v>
      </c>
      <c r="G204" s="2" t="s">
        <v>62</v>
      </c>
      <c r="H204" s="2">
        <v>7</v>
      </c>
      <c r="I204" s="2">
        <v>1367.67</v>
      </c>
      <c r="J204" s="2" t="s">
        <v>18</v>
      </c>
      <c r="K204" s="2" t="s">
        <v>34</v>
      </c>
      <c r="L204" s="2" t="s">
        <v>27</v>
      </c>
      <c r="M204" s="2" t="s">
        <v>28</v>
      </c>
      <c r="N204" s="2" t="s">
        <v>1057</v>
      </c>
      <c r="O204" s="2" t="s">
        <v>1058</v>
      </c>
      <c r="P204" t="s">
        <v>1079</v>
      </c>
      <c r="Q204">
        <v>2025</v>
      </c>
    </row>
    <row r="205" spans="1:17" hidden="1" x14ac:dyDescent="0.25">
      <c r="A205" s="1" t="s">
        <v>366</v>
      </c>
      <c r="B205" s="3">
        <v>45574</v>
      </c>
      <c r="C205" s="1" t="s">
        <v>353</v>
      </c>
      <c r="D205" s="1" t="s">
        <v>24</v>
      </c>
      <c r="E205" s="1" t="s">
        <v>16</v>
      </c>
      <c r="F205" s="2">
        <v>109.85</v>
      </c>
      <c r="G205" s="2" t="s">
        <v>75</v>
      </c>
      <c r="H205" s="2">
        <v>17</v>
      </c>
      <c r="I205" s="2">
        <v>1867.53</v>
      </c>
      <c r="J205" s="2" t="s">
        <v>63</v>
      </c>
      <c r="K205" s="2" t="s">
        <v>19</v>
      </c>
      <c r="L205" s="2" t="s">
        <v>41</v>
      </c>
      <c r="M205" s="2" t="s">
        <v>42</v>
      </c>
      <c r="N205" s="2" t="s">
        <v>1046</v>
      </c>
      <c r="O205" s="2" t="s">
        <v>1059</v>
      </c>
      <c r="P205" t="s">
        <v>1079</v>
      </c>
      <c r="Q205">
        <v>2024</v>
      </c>
    </row>
    <row r="206" spans="1:17" x14ac:dyDescent="0.25">
      <c r="A206" s="1" t="s">
        <v>367</v>
      </c>
      <c r="B206" s="3">
        <v>45907</v>
      </c>
      <c r="C206" s="1" t="s">
        <v>275</v>
      </c>
      <c r="D206" s="1" t="s">
        <v>55</v>
      </c>
      <c r="E206" s="1" t="s">
        <v>45</v>
      </c>
      <c r="F206" s="2">
        <v>87.45</v>
      </c>
      <c r="G206" s="2" t="s">
        <v>90</v>
      </c>
      <c r="H206" s="2">
        <v>12</v>
      </c>
      <c r="I206" s="2">
        <v>1049.3599999999999</v>
      </c>
      <c r="J206" s="2" t="s">
        <v>33</v>
      </c>
      <c r="K206" s="2" t="s">
        <v>19</v>
      </c>
      <c r="L206" s="2" t="s">
        <v>27</v>
      </c>
      <c r="M206" s="2" t="s">
        <v>28</v>
      </c>
      <c r="N206" s="2" t="s">
        <v>1049</v>
      </c>
      <c r="O206" s="2" t="s">
        <v>1055</v>
      </c>
      <c r="P206" t="s">
        <v>1079</v>
      </c>
      <c r="Q206">
        <v>2025</v>
      </c>
    </row>
    <row r="207" spans="1:17" hidden="1" x14ac:dyDescent="0.25">
      <c r="A207" s="1" t="s">
        <v>368</v>
      </c>
      <c r="B207" s="3">
        <v>45429</v>
      </c>
      <c r="C207" s="1" t="s">
        <v>369</v>
      </c>
      <c r="D207" s="1" t="s">
        <v>39</v>
      </c>
      <c r="E207" s="1" t="s">
        <v>45</v>
      </c>
      <c r="F207" s="2">
        <v>278.43</v>
      </c>
      <c r="G207" s="2" t="s">
        <v>72</v>
      </c>
      <c r="H207" s="2">
        <v>7</v>
      </c>
      <c r="I207" s="2">
        <v>1949</v>
      </c>
      <c r="J207" s="2" t="s">
        <v>18</v>
      </c>
      <c r="K207" s="2" t="s">
        <v>34</v>
      </c>
      <c r="L207" s="2" t="s">
        <v>35</v>
      </c>
      <c r="M207" s="2" t="s">
        <v>36</v>
      </c>
      <c r="N207" s="2" t="s">
        <v>1057</v>
      </c>
      <c r="O207" s="2" t="s">
        <v>1058</v>
      </c>
      <c r="P207" t="s">
        <v>1079</v>
      </c>
      <c r="Q207">
        <v>2024</v>
      </c>
    </row>
    <row r="208" spans="1:17" x14ac:dyDescent="0.25">
      <c r="A208" s="1" t="s">
        <v>370</v>
      </c>
      <c r="B208" s="3">
        <v>45816</v>
      </c>
      <c r="C208" s="1" t="s">
        <v>135</v>
      </c>
      <c r="D208" s="1" t="s">
        <v>15</v>
      </c>
      <c r="E208" s="1" t="s">
        <v>16</v>
      </c>
      <c r="F208" s="2">
        <v>78.45</v>
      </c>
      <c r="G208" s="2" t="s">
        <v>62</v>
      </c>
      <c r="H208" s="2">
        <v>11</v>
      </c>
      <c r="I208" s="2">
        <v>863</v>
      </c>
      <c r="J208" s="2" t="s">
        <v>18</v>
      </c>
      <c r="K208" s="2" t="s">
        <v>19</v>
      </c>
      <c r="L208" s="2" t="s">
        <v>41</v>
      </c>
      <c r="M208" s="2" t="s">
        <v>76</v>
      </c>
      <c r="N208" s="2" t="s">
        <v>1062</v>
      </c>
      <c r="O208" s="2" t="s">
        <v>1055</v>
      </c>
      <c r="P208" t="s">
        <v>1079</v>
      </c>
      <c r="Q208">
        <v>2025</v>
      </c>
    </row>
    <row r="209" spans="1:17" hidden="1" x14ac:dyDescent="0.25">
      <c r="A209" s="1" t="s">
        <v>371</v>
      </c>
      <c r="B209" s="3">
        <v>45438</v>
      </c>
      <c r="C209" s="1" t="s">
        <v>324</v>
      </c>
      <c r="D209" s="1" t="s">
        <v>15</v>
      </c>
      <c r="E209" s="1" t="s">
        <v>16</v>
      </c>
      <c r="F209" s="2">
        <v>297.05</v>
      </c>
      <c r="G209" s="2" t="s">
        <v>62</v>
      </c>
      <c r="H209" s="2">
        <v>12</v>
      </c>
      <c r="I209" s="2">
        <v>3564.58</v>
      </c>
      <c r="J209" s="2" t="s">
        <v>63</v>
      </c>
      <c r="K209" s="2" t="s">
        <v>19</v>
      </c>
      <c r="L209" s="2" t="s">
        <v>41</v>
      </c>
      <c r="M209" s="2" t="s">
        <v>42</v>
      </c>
      <c r="N209" s="2" t="s">
        <v>1057</v>
      </c>
      <c r="O209" s="2" t="s">
        <v>1055</v>
      </c>
      <c r="P209" t="s">
        <v>1079</v>
      </c>
      <c r="Q209">
        <v>2024</v>
      </c>
    </row>
    <row r="210" spans="1:17" hidden="1" x14ac:dyDescent="0.25">
      <c r="A210" s="1" t="s">
        <v>372</v>
      </c>
      <c r="B210" s="3">
        <v>45330</v>
      </c>
      <c r="C210" s="1" t="s">
        <v>38</v>
      </c>
      <c r="D210" s="1" t="s">
        <v>15</v>
      </c>
      <c r="E210" s="1" t="s">
        <v>25</v>
      </c>
      <c r="F210" s="2">
        <v>67.17</v>
      </c>
      <c r="G210" s="2" t="s">
        <v>62</v>
      </c>
      <c r="H210" s="2">
        <v>16</v>
      </c>
      <c r="I210" s="2">
        <v>1074.69</v>
      </c>
      <c r="J210" s="2" t="s">
        <v>33</v>
      </c>
      <c r="K210" s="2" t="s">
        <v>19</v>
      </c>
      <c r="L210" s="2" t="s">
        <v>20</v>
      </c>
      <c r="M210" s="2" t="s">
        <v>88</v>
      </c>
      <c r="N210" s="2" t="s">
        <v>1060</v>
      </c>
      <c r="O210" s="2" t="s">
        <v>1047</v>
      </c>
      <c r="P210" t="s">
        <v>1079</v>
      </c>
      <c r="Q210">
        <v>2024</v>
      </c>
    </row>
    <row r="211" spans="1:17" x14ac:dyDescent="0.25">
      <c r="A211" s="1" t="s">
        <v>373</v>
      </c>
      <c r="B211" s="3">
        <v>45797</v>
      </c>
      <c r="C211" s="1" t="s">
        <v>294</v>
      </c>
      <c r="D211" s="1" t="s">
        <v>39</v>
      </c>
      <c r="E211" s="1" t="s">
        <v>67</v>
      </c>
      <c r="F211" s="2">
        <v>92.23</v>
      </c>
      <c r="G211" s="2" t="s">
        <v>136</v>
      </c>
      <c r="H211" s="2">
        <v>16</v>
      </c>
      <c r="I211" s="2">
        <v>1475.7</v>
      </c>
      <c r="J211" s="2" t="s">
        <v>63</v>
      </c>
      <c r="K211" s="2" t="s">
        <v>19</v>
      </c>
      <c r="L211" s="2" t="s">
        <v>47</v>
      </c>
      <c r="M211" s="2" t="s">
        <v>48</v>
      </c>
      <c r="N211" s="2" t="s">
        <v>1057</v>
      </c>
      <c r="O211" s="2" t="s">
        <v>1053</v>
      </c>
      <c r="P211" t="s">
        <v>1079</v>
      </c>
      <c r="Q211">
        <v>2025</v>
      </c>
    </row>
    <row r="212" spans="1:17" hidden="1" x14ac:dyDescent="0.25">
      <c r="A212" s="1" t="s">
        <v>374</v>
      </c>
      <c r="B212" s="3">
        <v>45649</v>
      </c>
      <c r="C212" s="1" t="s">
        <v>375</v>
      </c>
      <c r="D212" s="1" t="s">
        <v>55</v>
      </c>
      <c r="E212" s="1" t="s">
        <v>71</v>
      </c>
      <c r="F212" s="2">
        <v>272.73</v>
      </c>
      <c r="G212" s="2" t="s">
        <v>79</v>
      </c>
      <c r="H212" s="2">
        <v>7</v>
      </c>
      <c r="I212" s="2">
        <v>1909.12</v>
      </c>
      <c r="J212" s="2" t="s">
        <v>33</v>
      </c>
      <c r="K212" s="2" t="s">
        <v>34</v>
      </c>
      <c r="L212" s="2" t="s">
        <v>35</v>
      </c>
      <c r="M212" s="2" t="s">
        <v>52</v>
      </c>
      <c r="N212" s="2" t="s">
        <v>1061</v>
      </c>
      <c r="O212" s="2" t="s">
        <v>1056</v>
      </c>
      <c r="P212" t="s">
        <v>1079</v>
      </c>
      <c r="Q212">
        <v>2024</v>
      </c>
    </row>
    <row r="213" spans="1:17" x14ac:dyDescent="0.25">
      <c r="A213" s="1" t="s">
        <v>376</v>
      </c>
      <c r="B213" s="3">
        <v>45680</v>
      </c>
      <c r="C213" s="1" t="s">
        <v>377</v>
      </c>
      <c r="D213" s="1" t="s">
        <v>15</v>
      </c>
      <c r="E213" s="1" t="s">
        <v>67</v>
      </c>
      <c r="F213" s="2">
        <v>163.41999999999999</v>
      </c>
      <c r="G213" s="2" t="s">
        <v>51</v>
      </c>
      <c r="H213" s="2">
        <v>12</v>
      </c>
      <c r="I213" s="2">
        <v>1961.09</v>
      </c>
      <c r="J213" s="2" t="s">
        <v>33</v>
      </c>
      <c r="K213" s="2" t="s">
        <v>19</v>
      </c>
      <c r="L213" s="2" t="s">
        <v>27</v>
      </c>
      <c r="M213" s="2" t="s">
        <v>28</v>
      </c>
      <c r="N213" s="2" t="s">
        <v>1050</v>
      </c>
      <c r="O213" s="2" t="s">
        <v>1047</v>
      </c>
      <c r="P213" t="s">
        <v>1079</v>
      </c>
      <c r="Q213">
        <v>2025</v>
      </c>
    </row>
    <row r="214" spans="1:17" x14ac:dyDescent="0.25">
      <c r="A214" s="1" t="s">
        <v>378</v>
      </c>
      <c r="B214" s="3">
        <v>45896</v>
      </c>
      <c r="C214" s="1" t="s">
        <v>58</v>
      </c>
      <c r="D214" s="1" t="s">
        <v>39</v>
      </c>
      <c r="E214" s="1" t="s">
        <v>45</v>
      </c>
      <c r="F214" s="2">
        <v>351.3</v>
      </c>
      <c r="G214" s="2" t="s">
        <v>136</v>
      </c>
      <c r="H214" s="2">
        <v>11</v>
      </c>
      <c r="I214" s="2">
        <v>3864.25</v>
      </c>
      <c r="J214" s="2" t="s">
        <v>63</v>
      </c>
      <c r="K214" s="2" t="s">
        <v>19</v>
      </c>
      <c r="L214" s="2" t="s">
        <v>41</v>
      </c>
      <c r="M214" s="2" t="s">
        <v>141</v>
      </c>
      <c r="N214" s="2" t="s">
        <v>1051</v>
      </c>
      <c r="O214" s="2" t="s">
        <v>1059</v>
      </c>
      <c r="P214" t="s">
        <v>1079</v>
      </c>
      <c r="Q214">
        <v>2025</v>
      </c>
    </row>
    <row r="215" spans="1:17" x14ac:dyDescent="0.25">
      <c r="A215" s="1" t="s">
        <v>379</v>
      </c>
      <c r="B215" s="3">
        <v>45694</v>
      </c>
      <c r="C215" s="1" t="s">
        <v>235</v>
      </c>
      <c r="D215" s="1" t="s">
        <v>39</v>
      </c>
      <c r="E215" s="1" t="s">
        <v>67</v>
      </c>
      <c r="F215" s="2">
        <v>195.71</v>
      </c>
      <c r="G215" s="2" t="s">
        <v>93</v>
      </c>
      <c r="H215" s="2">
        <v>12</v>
      </c>
      <c r="I215" s="2">
        <v>13174.279999999999</v>
      </c>
      <c r="J215" s="2" t="s">
        <v>18</v>
      </c>
      <c r="K215" s="2" t="s">
        <v>19</v>
      </c>
      <c r="L215" s="2" t="s">
        <v>27</v>
      </c>
      <c r="M215" s="2" t="s">
        <v>59</v>
      </c>
      <c r="N215" s="2" t="s">
        <v>1060</v>
      </c>
      <c r="O215" s="2" t="s">
        <v>1047</v>
      </c>
      <c r="P215" t="s">
        <v>1078</v>
      </c>
      <c r="Q215">
        <v>2025</v>
      </c>
    </row>
    <row r="216" spans="1:17" hidden="1" x14ac:dyDescent="0.25">
      <c r="A216" s="1" t="s">
        <v>380</v>
      </c>
      <c r="B216" s="3">
        <v>45515</v>
      </c>
      <c r="C216" s="1" t="s">
        <v>381</v>
      </c>
      <c r="D216" s="1" t="s">
        <v>15</v>
      </c>
      <c r="E216" s="1" t="s">
        <v>16</v>
      </c>
      <c r="F216" s="2">
        <v>134.03</v>
      </c>
      <c r="G216" s="2" t="s">
        <v>82</v>
      </c>
      <c r="H216" s="2">
        <v>17</v>
      </c>
      <c r="I216" s="2">
        <v>2278.59</v>
      </c>
      <c r="J216" s="2" t="s">
        <v>18</v>
      </c>
      <c r="K216" s="2" t="s">
        <v>19</v>
      </c>
      <c r="L216" s="2" t="s">
        <v>35</v>
      </c>
      <c r="M216" s="2" t="s">
        <v>36</v>
      </c>
      <c r="N216" s="2" t="s">
        <v>1051</v>
      </c>
      <c r="O216" s="2" t="s">
        <v>1055</v>
      </c>
      <c r="P216" t="s">
        <v>1079</v>
      </c>
      <c r="Q216">
        <v>2024</v>
      </c>
    </row>
    <row r="217" spans="1:17" x14ac:dyDescent="0.25">
      <c r="A217" s="1" t="s">
        <v>382</v>
      </c>
      <c r="B217" s="3">
        <v>45937</v>
      </c>
      <c r="C217" s="1" t="s">
        <v>279</v>
      </c>
      <c r="D217" s="1" t="s">
        <v>31</v>
      </c>
      <c r="E217" s="1" t="s">
        <v>16</v>
      </c>
      <c r="F217" s="2">
        <v>169.3</v>
      </c>
      <c r="G217" s="2" t="s">
        <v>31</v>
      </c>
      <c r="H217" s="2">
        <v>13</v>
      </c>
      <c r="I217" s="2">
        <v>2200.85</v>
      </c>
      <c r="J217" s="2" t="s">
        <v>33</v>
      </c>
      <c r="K217" s="2" t="s">
        <v>19</v>
      </c>
      <c r="L217" s="2" t="s">
        <v>47</v>
      </c>
      <c r="M217" s="2" t="s">
        <v>48</v>
      </c>
      <c r="N217" s="2" t="s">
        <v>1046</v>
      </c>
      <c r="O217" s="2" t="s">
        <v>1053</v>
      </c>
      <c r="P217" t="s">
        <v>1079</v>
      </c>
      <c r="Q217">
        <v>2025</v>
      </c>
    </row>
    <row r="218" spans="1:17" x14ac:dyDescent="0.25">
      <c r="A218" s="1" t="s">
        <v>383</v>
      </c>
      <c r="B218" s="3">
        <v>45665</v>
      </c>
      <c r="C218" s="1" t="s">
        <v>133</v>
      </c>
      <c r="D218" s="1" t="s">
        <v>15</v>
      </c>
      <c r="E218" s="1" t="s">
        <v>16</v>
      </c>
      <c r="F218" s="2">
        <v>285.95999999999998</v>
      </c>
      <c r="G218" s="2" t="s">
        <v>51</v>
      </c>
      <c r="H218" s="2">
        <v>12</v>
      </c>
      <c r="I218" s="2">
        <v>3431.55</v>
      </c>
      <c r="J218" s="2" t="s">
        <v>18</v>
      </c>
      <c r="K218" s="2" t="s">
        <v>19</v>
      </c>
      <c r="L218" s="2" t="s">
        <v>47</v>
      </c>
      <c r="M218" s="2" t="s">
        <v>153</v>
      </c>
      <c r="N218" s="2" t="s">
        <v>1050</v>
      </c>
      <c r="O218" s="2" t="s">
        <v>1059</v>
      </c>
      <c r="P218" t="s">
        <v>1079</v>
      </c>
      <c r="Q218">
        <v>2025</v>
      </c>
    </row>
    <row r="219" spans="1:17" x14ac:dyDescent="0.25">
      <c r="A219" s="1" t="s">
        <v>384</v>
      </c>
      <c r="B219" s="3">
        <v>45885</v>
      </c>
      <c r="C219" s="1" t="s">
        <v>385</v>
      </c>
      <c r="D219" s="1" t="s">
        <v>39</v>
      </c>
      <c r="E219" s="1" t="s">
        <v>67</v>
      </c>
      <c r="F219" s="2">
        <v>193.5</v>
      </c>
      <c r="G219" s="2" t="s">
        <v>72</v>
      </c>
      <c r="H219" s="2">
        <v>14</v>
      </c>
      <c r="I219" s="2">
        <v>2708.95</v>
      </c>
      <c r="J219" s="2" t="s">
        <v>33</v>
      </c>
      <c r="K219" s="2" t="s">
        <v>19</v>
      </c>
      <c r="L219" s="2" t="s">
        <v>35</v>
      </c>
      <c r="M219" s="2" t="s">
        <v>52</v>
      </c>
      <c r="N219" s="2" t="s">
        <v>1051</v>
      </c>
      <c r="O219" s="2" t="s">
        <v>1063</v>
      </c>
      <c r="P219" t="s">
        <v>1079</v>
      </c>
      <c r="Q219">
        <v>2025</v>
      </c>
    </row>
    <row r="220" spans="1:17" hidden="1" x14ac:dyDescent="0.25">
      <c r="A220" s="1" t="s">
        <v>386</v>
      </c>
      <c r="B220" s="3">
        <v>45545</v>
      </c>
      <c r="C220" s="1" t="s">
        <v>123</v>
      </c>
      <c r="D220" s="1" t="s">
        <v>55</v>
      </c>
      <c r="E220" s="1" t="s">
        <v>67</v>
      </c>
      <c r="F220" s="2">
        <v>468.82</v>
      </c>
      <c r="G220" s="2" t="s">
        <v>79</v>
      </c>
      <c r="H220" s="2">
        <v>5</v>
      </c>
      <c r="I220" s="2">
        <v>2344.11</v>
      </c>
      <c r="J220" s="2" t="s">
        <v>18</v>
      </c>
      <c r="K220" s="2" t="s">
        <v>34</v>
      </c>
      <c r="L220" s="2" t="s">
        <v>41</v>
      </c>
      <c r="M220" s="2" t="s">
        <v>42</v>
      </c>
      <c r="N220" s="2" t="s">
        <v>1049</v>
      </c>
      <c r="O220" s="2" t="s">
        <v>1053</v>
      </c>
      <c r="P220" t="s">
        <v>1079</v>
      </c>
      <c r="Q220">
        <v>2024</v>
      </c>
    </row>
    <row r="221" spans="1:17" x14ac:dyDescent="0.25">
      <c r="A221" s="1" t="s">
        <v>387</v>
      </c>
      <c r="B221" s="3">
        <v>45960</v>
      </c>
      <c r="C221" s="1" t="s">
        <v>242</v>
      </c>
      <c r="D221" s="1" t="s">
        <v>24</v>
      </c>
      <c r="E221" s="1" t="s">
        <v>71</v>
      </c>
      <c r="F221" s="2">
        <v>165.72</v>
      </c>
      <c r="G221" s="2" t="s">
        <v>26</v>
      </c>
      <c r="H221" s="2">
        <v>13</v>
      </c>
      <c r="I221" s="2">
        <v>2154.3000000000002</v>
      </c>
      <c r="J221" s="2" t="s">
        <v>18</v>
      </c>
      <c r="K221" s="2" t="s">
        <v>19</v>
      </c>
      <c r="L221" s="2" t="s">
        <v>27</v>
      </c>
      <c r="M221" s="2" t="s">
        <v>161</v>
      </c>
      <c r="N221" s="2" t="s">
        <v>1046</v>
      </c>
      <c r="O221" s="2" t="s">
        <v>1047</v>
      </c>
      <c r="P221" t="s">
        <v>1079</v>
      </c>
      <c r="Q221">
        <v>2025</v>
      </c>
    </row>
    <row r="222" spans="1:17" x14ac:dyDescent="0.25">
      <c r="A222" s="1" t="s">
        <v>388</v>
      </c>
      <c r="B222" s="3">
        <v>45958</v>
      </c>
      <c r="C222" s="1" t="s">
        <v>173</v>
      </c>
      <c r="D222" s="1" t="s">
        <v>31</v>
      </c>
      <c r="E222" s="1" t="s">
        <v>67</v>
      </c>
      <c r="F222" s="2">
        <v>134.15</v>
      </c>
      <c r="G222" s="2" t="s">
        <v>46</v>
      </c>
      <c r="H222" s="2">
        <v>12</v>
      </c>
      <c r="I222" s="2">
        <v>1609.77</v>
      </c>
      <c r="J222" s="2" t="s">
        <v>18</v>
      </c>
      <c r="K222" s="2" t="s">
        <v>19</v>
      </c>
      <c r="L222" s="2" t="s">
        <v>35</v>
      </c>
      <c r="M222" s="2" t="s">
        <v>52</v>
      </c>
      <c r="N222" s="2" t="s">
        <v>1046</v>
      </c>
      <c r="O222" s="2" t="s">
        <v>1053</v>
      </c>
      <c r="P222" t="s">
        <v>1079</v>
      </c>
      <c r="Q222">
        <v>2025</v>
      </c>
    </row>
    <row r="223" spans="1:17" x14ac:dyDescent="0.25">
      <c r="A223" s="1" t="s">
        <v>389</v>
      </c>
      <c r="B223" s="3">
        <v>45949</v>
      </c>
      <c r="C223" s="1" t="s">
        <v>363</v>
      </c>
      <c r="D223" s="1" t="s">
        <v>31</v>
      </c>
      <c r="E223" s="1" t="s">
        <v>67</v>
      </c>
      <c r="F223" s="2">
        <v>92.85</v>
      </c>
      <c r="G223" s="2" t="s">
        <v>46</v>
      </c>
      <c r="H223" s="2">
        <v>18</v>
      </c>
      <c r="I223" s="2">
        <v>1671.32</v>
      </c>
      <c r="J223" s="2" t="s">
        <v>18</v>
      </c>
      <c r="K223" s="2" t="s">
        <v>19</v>
      </c>
      <c r="L223" s="2" t="s">
        <v>20</v>
      </c>
      <c r="M223" s="2" t="s">
        <v>64</v>
      </c>
      <c r="N223" s="2" t="s">
        <v>1046</v>
      </c>
      <c r="O223" s="2" t="s">
        <v>1055</v>
      </c>
      <c r="P223" t="s">
        <v>1079</v>
      </c>
      <c r="Q223">
        <v>2025</v>
      </c>
    </row>
    <row r="224" spans="1:17" x14ac:dyDescent="0.25">
      <c r="A224" s="1" t="s">
        <v>390</v>
      </c>
      <c r="B224" s="3">
        <v>45843</v>
      </c>
      <c r="C224" s="1" t="s">
        <v>237</v>
      </c>
      <c r="D224" s="1" t="s">
        <v>24</v>
      </c>
      <c r="E224" s="1" t="s">
        <v>71</v>
      </c>
      <c r="F224" s="2">
        <v>575.13</v>
      </c>
      <c r="G224" s="2" t="s">
        <v>26</v>
      </c>
      <c r="H224" s="2">
        <v>7</v>
      </c>
      <c r="I224" s="2">
        <v>4025.92</v>
      </c>
      <c r="J224" s="2" t="s">
        <v>18</v>
      </c>
      <c r="K224" s="2" t="s">
        <v>19</v>
      </c>
      <c r="L224" s="2" t="s">
        <v>20</v>
      </c>
      <c r="M224" s="2" t="s">
        <v>64</v>
      </c>
      <c r="N224" s="2" t="s">
        <v>1052</v>
      </c>
      <c r="O224" s="2" t="s">
        <v>1063</v>
      </c>
      <c r="P224" t="s">
        <v>1079</v>
      </c>
      <c r="Q224">
        <v>2025</v>
      </c>
    </row>
    <row r="225" spans="1:17" hidden="1" x14ac:dyDescent="0.25">
      <c r="A225" s="1" t="s">
        <v>391</v>
      </c>
      <c r="B225" s="3">
        <v>45388</v>
      </c>
      <c r="C225" s="1" t="s">
        <v>392</v>
      </c>
      <c r="D225" s="1" t="s">
        <v>55</v>
      </c>
      <c r="E225" s="1" t="s">
        <v>67</v>
      </c>
      <c r="F225" s="2">
        <v>106.75</v>
      </c>
      <c r="G225" s="2" t="s">
        <v>79</v>
      </c>
      <c r="H225" s="2">
        <v>12</v>
      </c>
      <c r="I225" s="2">
        <v>1281</v>
      </c>
      <c r="J225" s="2" t="s">
        <v>63</v>
      </c>
      <c r="K225" s="2" t="s">
        <v>19</v>
      </c>
      <c r="L225" s="2" t="s">
        <v>20</v>
      </c>
      <c r="M225" s="2" t="s">
        <v>21</v>
      </c>
      <c r="N225" s="2" t="s">
        <v>1048</v>
      </c>
      <c r="O225" s="2" t="s">
        <v>1063</v>
      </c>
      <c r="P225" t="s">
        <v>1079</v>
      </c>
      <c r="Q225">
        <v>2024</v>
      </c>
    </row>
    <row r="226" spans="1:17" hidden="1" x14ac:dyDescent="0.25">
      <c r="A226" s="1" t="s">
        <v>393</v>
      </c>
      <c r="B226" s="3">
        <v>45650</v>
      </c>
      <c r="C226" s="1" t="s">
        <v>240</v>
      </c>
      <c r="D226" s="1" t="s">
        <v>24</v>
      </c>
      <c r="E226" s="1" t="s">
        <v>71</v>
      </c>
      <c r="F226" s="2">
        <v>259.43</v>
      </c>
      <c r="G226" s="2" t="s">
        <v>68</v>
      </c>
      <c r="H226" s="2">
        <v>5</v>
      </c>
      <c r="I226" s="2">
        <v>1297.1300000000001</v>
      </c>
      <c r="J226" s="2" t="s">
        <v>18</v>
      </c>
      <c r="K226" s="2" t="s">
        <v>34</v>
      </c>
      <c r="L226" s="2" t="s">
        <v>35</v>
      </c>
      <c r="M226" s="2" t="s">
        <v>126</v>
      </c>
      <c r="N226" s="2" t="s">
        <v>1061</v>
      </c>
      <c r="O226" s="2" t="s">
        <v>1053</v>
      </c>
      <c r="P226" t="s">
        <v>1079</v>
      </c>
      <c r="Q226">
        <v>2024</v>
      </c>
    </row>
    <row r="227" spans="1:17" hidden="1" x14ac:dyDescent="0.25">
      <c r="A227" s="1" t="s">
        <v>394</v>
      </c>
      <c r="B227" s="3">
        <v>45631</v>
      </c>
      <c r="C227" s="1" t="s">
        <v>61</v>
      </c>
      <c r="D227" s="1" t="s">
        <v>24</v>
      </c>
      <c r="E227" s="1" t="s">
        <v>71</v>
      </c>
      <c r="F227" s="2">
        <v>164.92</v>
      </c>
      <c r="G227" s="2" t="s">
        <v>75</v>
      </c>
      <c r="H227" s="2">
        <v>12</v>
      </c>
      <c r="I227" s="2">
        <v>1979</v>
      </c>
      <c r="J227" s="2" t="s">
        <v>18</v>
      </c>
      <c r="K227" s="2" t="s">
        <v>19</v>
      </c>
      <c r="L227" s="2" t="s">
        <v>27</v>
      </c>
      <c r="M227" s="2" t="s">
        <v>28</v>
      </c>
      <c r="N227" s="2" t="s">
        <v>1061</v>
      </c>
      <c r="O227" s="2" t="s">
        <v>1047</v>
      </c>
      <c r="P227" t="s">
        <v>1079</v>
      </c>
      <c r="Q227">
        <v>2024</v>
      </c>
    </row>
    <row r="228" spans="1:17" hidden="1" x14ac:dyDescent="0.25">
      <c r="A228" s="1" t="s">
        <v>395</v>
      </c>
      <c r="B228" s="3">
        <v>45363</v>
      </c>
      <c r="C228" s="1" t="s">
        <v>237</v>
      </c>
      <c r="D228" s="1" t="s">
        <v>24</v>
      </c>
      <c r="E228" s="1" t="s">
        <v>25</v>
      </c>
      <c r="F228" s="2">
        <v>192.62</v>
      </c>
      <c r="G228" s="2" t="s">
        <v>68</v>
      </c>
      <c r="H228" s="2">
        <v>9</v>
      </c>
      <c r="I228" s="2">
        <v>1733.57</v>
      </c>
      <c r="J228" s="2" t="s">
        <v>63</v>
      </c>
      <c r="K228" s="2" t="s">
        <v>34</v>
      </c>
      <c r="L228" s="2" t="s">
        <v>27</v>
      </c>
      <c r="M228" s="2" t="s">
        <v>161</v>
      </c>
      <c r="N228" s="2" t="s">
        <v>1054</v>
      </c>
      <c r="O228" s="2" t="s">
        <v>1053</v>
      </c>
      <c r="P228" t="s">
        <v>1079</v>
      </c>
      <c r="Q228">
        <v>2024</v>
      </c>
    </row>
    <row r="229" spans="1:17" x14ac:dyDescent="0.25">
      <c r="A229" s="1" t="s">
        <v>396</v>
      </c>
      <c r="B229" s="3">
        <v>45884</v>
      </c>
      <c r="C229" s="1" t="s">
        <v>397</v>
      </c>
      <c r="D229" s="1" t="s">
        <v>39</v>
      </c>
      <c r="E229" s="1" t="s">
        <v>16</v>
      </c>
      <c r="F229" s="2">
        <v>102.15</v>
      </c>
      <c r="G229" s="2" t="s">
        <v>136</v>
      </c>
      <c r="H229" s="2">
        <v>10</v>
      </c>
      <c r="I229" s="2">
        <v>13174.279999999999</v>
      </c>
      <c r="J229" s="2" t="s">
        <v>63</v>
      </c>
      <c r="K229" s="2" t="s">
        <v>19</v>
      </c>
      <c r="L229" s="2" t="s">
        <v>35</v>
      </c>
      <c r="M229" s="2" t="s">
        <v>126</v>
      </c>
      <c r="N229" s="2" t="s">
        <v>1051</v>
      </c>
      <c r="O229" s="2" t="s">
        <v>1058</v>
      </c>
      <c r="P229" t="s">
        <v>1078</v>
      </c>
      <c r="Q229">
        <v>2025</v>
      </c>
    </row>
    <row r="230" spans="1:17" x14ac:dyDescent="0.25">
      <c r="A230" s="1" t="s">
        <v>398</v>
      </c>
      <c r="B230" s="3">
        <v>45696</v>
      </c>
      <c r="C230" s="1" t="s">
        <v>92</v>
      </c>
      <c r="D230" s="1" t="s">
        <v>31</v>
      </c>
      <c r="E230" s="1" t="s">
        <v>25</v>
      </c>
      <c r="F230" s="2">
        <v>51.07</v>
      </c>
      <c r="G230" s="2" t="s">
        <v>98</v>
      </c>
      <c r="H230" s="2">
        <v>14</v>
      </c>
      <c r="I230" s="2">
        <v>715</v>
      </c>
      <c r="J230" s="2" t="s">
        <v>18</v>
      </c>
      <c r="K230" s="2" t="s">
        <v>19</v>
      </c>
      <c r="L230" s="2" t="s">
        <v>27</v>
      </c>
      <c r="M230" s="2" t="s">
        <v>161</v>
      </c>
      <c r="N230" s="2" t="s">
        <v>1060</v>
      </c>
      <c r="O230" s="2" t="s">
        <v>1063</v>
      </c>
      <c r="P230" t="s">
        <v>1079</v>
      </c>
      <c r="Q230">
        <v>2025</v>
      </c>
    </row>
    <row r="231" spans="1:17" hidden="1" x14ac:dyDescent="0.25">
      <c r="A231" s="1" t="s">
        <v>399</v>
      </c>
      <c r="B231" s="3">
        <v>45450</v>
      </c>
      <c r="C231" s="1" t="s">
        <v>400</v>
      </c>
      <c r="D231" s="1" t="s">
        <v>31</v>
      </c>
      <c r="E231" s="1" t="s">
        <v>67</v>
      </c>
      <c r="F231" s="2">
        <v>700.18</v>
      </c>
      <c r="G231" s="2" t="s">
        <v>32</v>
      </c>
      <c r="H231" s="2">
        <v>6</v>
      </c>
      <c r="I231" s="2">
        <v>4201.05</v>
      </c>
      <c r="J231" s="2" t="s">
        <v>33</v>
      </c>
      <c r="K231" s="2" t="s">
        <v>19</v>
      </c>
      <c r="L231" s="2" t="s">
        <v>27</v>
      </c>
      <c r="M231" s="2" t="s">
        <v>59</v>
      </c>
      <c r="N231" s="2" t="s">
        <v>1062</v>
      </c>
      <c r="O231" s="2" t="s">
        <v>1058</v>
      </c>
      <c r="P231" t="s">
        <v>1078</v>
      </c>
      <c r="Q231">
        <v>2024</v>
      </c>
    </row>
    <row r="232" spans="1:17" x14ac:dyDescent="0.25">
      <c r="A232" s="1" t="s">
        <v>401</v>
      </c>
      <c r="B232" s="3">
        <v>45674</v>
      </c>
      <c r="C232" s="1" t="s">
        <v>173</v>
      </c>
      <c r="D232" s="1" t="s">
        <v>55</v>
      </c>
      <c r="E232" s="1" t="s">
        <v>67</v>
      </c>
      <c r="F232" s="2">
        <v>40.46</v>
      </c>
      <c r="G232" s="2" t="s">
        <v>90</v>
      </c>
      <c r="H232" s="2">
        <v>73</v>
      </c>
      <c r="I232" s="2">
        <v>2953.83</v>
      </c>
      <c r="J232" s="2" t="s">
        <v>18</v>
      </c>
      <c r="K232" s="2" t="s">
        <v>19</v>
      </c>
      <c r="L232" s="2" t="s">
        <v>20</v>
      </c>
      <c r="M232" s="2" t="s">
        <v>64</v>
      </c>
      <c r="N232" s="2" t="s">
        <v>1050</v>
      </c>
      <c r="O232" s="2" t="s">
        <v>1058</v>
      </c>
      <c r="P232" t="s">
        <v>1079</v>
      </c>
      <c r="Q232">
        <v>2025</v>
      </c>
    </row>
    <row r="233" spans="1:17" hidden="1" x14ac:dyDescent="0.25">
      <c r="A233" s="1" t="s">
        <v>402</v>
      </c>
      <c r="B233" s="3">
        <v>45306</v>
      </c>
      <c r="C233" s="1" t="s">
        <v>147</v>
      </c>
      <c r="D233" s="1" t="s">
        <v>39</v>
      </c>
      <c r="E233" s="1" t="s">
        <v>16</v>
      </c>
      <c r="F233" s="2">
        <v>1276.5999999999999</v>
      </c>
      <c r="G233" s="2" t="s">
        <v>93</v>
      </c>
      <c r="H233" s="2">
        <v>1</v>
      </c>
      <c r="I233" s="2">
        <v>1276.5999999999999</v>
      </c>
      <c r="J233" s="2" t="s">
        <v>18</v>
      </c>
      <c r="K233" s="2" t="s">
        <v>34</v>
      </c>
      <c r="L233" s="2" t="s">
        <v>35</v>
      </c>
      <c r="M233" s="2" t="s">
        <v>36</v>
      </c>
      <c r="N233" s="2" t="s">
        <v>1050</v>
      </c>
      <c r="O233" s="2" t="s">
        <v>1056</v>
      </c>
      <c r="P233" t="s">
        <v>1079</v>
      </c>
      <c r="Q233">
        <v>2024</v>
      </c>
    </row>
    <row r="234" spans="1:17" hidden="1" x14ac:dyDescent="0.25">
      <c r="A234" s="1" t="s">
        <v>403</v>
      </c>
      <c r="B234" s="3">
        <v>45384</v>
      </c>
      <c r="C234" s="1" t="s">
        <v>145</v>
      </c>
      <c r="D234" s="1" t="s">
        <v>39</v>
      </c>
      <c r="E234" s="1" t="s">
        <v>45</v>
      </c>
      <c r="F234" s="2">
        <v>161.05000000000001</v>
      </c>
      <c r="G234" s="2" t="s">
        <v>40</v>
      </c>
      <c r="H234" s="2">
        <v>12</v>
      </c>
      <c r="I234" s="2">
        <v>1932.59</v>
      </c>
      <c r="J234" s="2" t="s">
        <v>63</v>
      </c>
      <c r="K234" s="2" t="s">
        <v>19</v>
      </c>
      <c r="L234" s="2" t="s">
        <v>47</v>
      </c>
      <c r="M234" s="2" t="s">
        <v>153</v>
      </c>
      <c r="N234" s="2" t="s">
        <v>1048</v>
      </c>
      <c r="O234" s="2" t="s">
        <v>1053</v>
      </c>
      <c r="P234" t="s">
        <v>1079</v>
      </c>
      <c r="Q234">
        <v>2024</v>
      </c>
    </row>
    <row r="235" spans="1:17" hidden="1" x14ac:dyDescent="0.25">
      <c r="A235" s="1" t="s">
        <v>404</v>
      </c>
      <c r="B235" s="3">
        <v>45464</v>
      </c>
      <c r="C235" s="1" t="s">
        <v>95</v>
      </c>
      <c r="D235" s="1" t="s">
        <v>24</v>
      </c>
      <c r="E235" s="1" t="s">
        <v>71</v>
      </c>
      <c r="F235" s="2">
        <v>99.55</v>
      </c>
      <c r="G235" s="2" t="s">
        <v>75</v>
      </c>
      <c r="H235" s="2">
        <v>11</v>
      </c>
      <c r="I235" s="2">
        <v>1095</v>
      </c>
      <c r="J235" s="2" t="s">
        <v>18</v>
      </c>
      <c r="K235" s="2" t="s">
        <v>19</v>
      </c>
      <c r="L235" s="2" t="s">
        <v>35</v>
      </c>
      <c r="M235" s="2" t="s">
        <v>36</v>
      </c>
      <c r="N235" s="2" t="s">
        <v>1062</v>
      </c>
      <c r="O235" s="2" t="s">
        <v>1058</v>
      </c>
      <c r="P235" t="s">
        <v>1079</v>
      </c>
      <c r="Q235">
        <v>2024</v>
      </c>
    </row>
    <row r="236" spans="1:17" x14ac:dyDescent="0.25">
      <c r="A236" s="1" t="s">
        <v>405</v>
      </c>
      <c r="B236" s="3">
        <v>45806</v>
      </c>
      <c r="C236" s="1" t="s">
        <v>286</v>
      </c>
      <c r="D236" s="1" t="s">
        <v>15</v>
      </c>
      <c r="E236" s="1" t="s">
        <v>25</v>
      </c>
      <c r="F236" s="2">
        <v>276.67</v>
      </c>
      <c r="G236" s="2" t="s">
        <v>17</v>
      </c>
      <c r="H236" s="2">
        <v>8</v>
      </c>
      <c r="I236" s="2">
        <v>2213.36</v>
      </c>
      <c r="J236" s="2" t="s">
        <v>18</v>
      </c>
      <c r="K236" s="2" t="s">
        <v>34</v>
      </c>
      <c r="L236" s="2" t="s">
        <v>47</v>
      </c>
      <c r="M236" s="2" t="s">
        <v>48</v>
      </c>
      <c r="N236" s="2" t="s">
        <v>1057</v>
      </c>
      <c r="O236" s="2" t="s">
        <v>1047</v>
      </c>
      <c r="P236" t="s">
        <v>1079</v>
      </c>
      <c r="Q236">
        <v>2025</v>
      </c>
    </row>
    <row r="237" spans="1:17" x14ac:dyDescent="0.25">
      <c r="A237" s="1" t="s">
        <v>406</v>
      </c>
      <c r="B237" s="3">
        <v>45958</v>
      </c>
      <c r="C237" s="1" t="s">
        <v>407</v>
      </c>
      <c r="D237" s="1" t="s">
        <v>39</v>
      </c>
      <c r="E237" s="1" t="s">
        <v>67</v>
      </c>
      <c r="F237" s="2">
        <v>83.71</v>
      </c>
      <c r="G237" s="2" t="s">
        <v>40</v>
      </c>
      <c r="H237" s="2">
        <v>15</v>
      </c>
      <c r="I237" s="2">
        <v>1255.6500000000001</v>
      </c>
      <c r="J237" s="2" t="s">
        <v>18</v>
      </c>
      <c r="K237" s="2" t="s">
        <v>19</v>
      </c>
      <c r="L237" s="2" t="s">
        <v>20</v>
      </c>
      <c r="M237" s="2" t="s">
        <v>88</v>
      </c>
      <c r="N237" s="2" t="s">
        <v>1046</v>
      </c>
      <c r="O237" s="2" t="s">
        <v>1053</v>
      </c>
      <c r="P237" t="s">
        <v>1079</v>
      </c>
      <c r="Q237">
        <v>2025</v>
      </c>
    </row>
    <row r="238" spans="1:17" x14ac:dyDescent="0.25">
      <c r="A238" s="1" t="s">
        <v>408</v>
      </c>
      <c r="B238" s="3">
        <v>45699</v>
      </c>
      <c r="C238" s="1" t="s">
        <v>175</v>
      </c>
      <c r="D238" s="1" t="s">
        <v>55</v>
      </c>
      <c r="E238" s="1" t="s">
        <v>67</v>
      </c>
      <c r="F238" s="2">
        <v>87.76</v>
      </c>
      <c r="G238" s="2" t="s">
        <v>56</v>
      </c>
      <c r="H238" s="2">
        <v>15</v>
      </c>
      <c r="I238" s="2">
        <v>1316.37</v>
      </c>
      <c r="J238" s="2" t="s">
        <v>18</v>
      </c>
      <c r="K238" s="2" t="s">
        <v>19</v>
      </c>
      <c r="L238" s="2" t="s">
        <v>35</v>
      </c>
      <c r="M238" s="2" t="s">
        <v>52</v>
      </c>
      <c r="N238" s="2" t="s">
        <v>1060</v>
      </c>
      <c r="O238" s="2" t="s">
        <v>1053</v>
      </c>
      <c r="P238" t="s">
        <v>1079</v>
      </c>
      <c r="Q238">
        <v>2025</v>
      </c>
    </row>
    <row r="239" spans="1:17" x14ac:dyDescent="0.25">
      <c r="A239" s="1" t="s">
        <v>409</v>
      </c>
      <c r="B239" s="3">
        <v>45678</v>
      </c>
      <c r="C239" s="1" t="s">
        <v>61</v>
      </c>
      <c r="D239" s="1" t="s">
        <v>55</v>
      </c>
      <c r="E239" s="1" t="s">
        <v>25</v>
      </c>
      <c r="F239" s="2">
        <v>35.17</v>
      </c>
      <c r="G239" s="2" t="s">
        <v>56</v>
      </c>
      <c r="H239" s="2">
        <v>12</v>
      </c>
      <c r="I239" s="2">
        <v>422</v>
      </c>
      <c r="J239" s="2" t="s">
        <v>18</v>
      </c>
      <c r="K239" s="2" t="s">
        <v>19</v>
      </c>
      <c r="L239" s="2" t="s">
        <v>20</v>
      </c>
      <c r="M239" s="2" t="s">
        <v>21</v>
      </c>
      <c r="N239" s="2" t="s">
        <v>1050</v>
      </c>
      <c r="O239" s="2" t="s">
        <v>1053</v>
      </c>
      <c r="P239" t="s">
        <v>1079</v>
      </c>
      <c r="Q239">
        <v>2025</v>
      </c>
    </row>
    <row r="240" spans="1:17" x14ac:dyDescent="0.25">
      <c r="A240" s="1" t="s">
        <v>410</v>
      </c>
      <c r="B240" s="3">
        <v>45834</v>
      </c>
      <c r="C240" s="1" t="s">
        <v>97</v>
      </c>
      <c r="D240" s="1" t="s">
        <v>15</v>
      </c>
      <c r="E240" s="1" t="s">
        <v>71</v>
      </c>
      <c r="F240" s="2">
        <v>151.94999999999999</v>
      </c>
      <c r="G240" s="2" t="s">
        <v>62</v>
      </c>
      <c r="H240" s="2">
        <v>11</v>
      </c>
      <c r="I240" s="2">
        <v>1671.42</v>
      </c>
      <c r="J240" s="2" t="s">
        <v>18</v>
      </c>
      <c r="K240" s="2" t="s">
        <v>19</v>
      </c>
      <c r="L240" s="2" t="s">
        <v>20</v>
      </c>
      <c r="M240" s="2" t="s">
        <v>64</v>
      </c>
      <c r="N240" s="2" t="s">
        <v>1062</v>
      </c>
      <c r="O240" s="2" t="s">
        <v>1047</v>
      </c>
      <c r="P240" t="s">
        <v>1079</v>
      </c>
      <c r="Q240">
        <v>2025</v>
      </c>
    </row>
    <row r="241" spans="1:17" x14ac:dyDescent="0.25">
      <c r="A241" s="1" t="s">
        <v>411</v>
      </c>
      <c r="B241" s="3">
        <v>45791</v>
      </c>
      <c r="C241" s="1" t="s">
        <v>44</v>
      </c>
      <c r="D241" s="1" t="s">
        <v>55</v>
      </c>
      <c r="E241" s="1" t="s">
        <v>45</v>
      </c>
      <c r="F241" s="2">
        <v>83.37</v>
      </c>
      <c r="G241" s="2" t="s">
        <v>90</v>
      </c>
      <c r="H241" s="2">
        <v>10</v>
      </c>
      <c r="I241" s="2">
        <v>833.74</v>
      </c>
      <c r="J241" s="2" t="s">
        <v>18</v>
      </c>
      <c r="K241" s="2" t="s">
        <v>34</v>
      </c>
      <c r="L241" s="2" t="s">
        <v>47</v>
      </c>
      <c r="M241" s="2" t="s">
        <v>48</v>
      </c>
      <c r="N241" s="2" t="s">
        <v>1057</v>
      </c>
      <c r="O241" s="2" t="s">
        <v>1059</v>
      </c>
      <c r="P241" t="s">
        <v>1079</v>
      </c>
      <c r="Q241">
        <v>2025</v>
      </c>
    </row>
    <row r="242" spans="1:17" hidden="1" x14ac:dyDescent="0.25">
      <c r="A242" s="1" t="s">
        <v>412</v>
      </c>
      <c r="B242" s="3">
        <v>45609</v>
      </c>
      <c r="C242" s="1" t="s">
        <v>125</v>
      </c>
      <c r="D242" s="1" t="s">
        <v>15</v>
      </c>
      <c r="E242" s="1" t="s">
        <v>71</v>
      </c>
      <c r="F242" s="2">
        <v>242.37</v>
      </c>
      <c r="G242" s="2" t="s">
        <v>17</v>
      </c>
      <c r="H242" s="2">
        <v>12</v>
      </c>
      <c r="I242" s="2">
        <v>2908.45</v>
      </c>
      <c r="J242" s="2" t="s">
        <v>63</v>
      </c>
      <c r="K242" s="2" t="s">
        <v>19</v>
      </c>
      <c r="L242" s="2" t="s">
        <v>41</v>
      </c>
      <c r="M242" s="2" t="s">
        <v>42</v>
      </c>
      <c r="N242" s="2" t="s">
        <v>1064</v>
      </c>
      <c r="O242" s="2" t="s">
        <v>1059</v>
      </c>
      <c r="P242" t="s">
        <v>1079</v>
      </c>
      <c r="Q242">
        <v>2024</v>
      </c>
    </row>
    <row r="243" spans="1:17" hidden="1" x14ac:dyDescent="0.25">
      <c r="A243" s="1" t="s">
        <v>413</v>
      </c>
      <c r="B243" s="3">
        <v>45433</v>
      </c>
      <c r="C243" s="1" t="s">
        <v>150</v>
      </c>
      <c r="D243" s="1" t="s">
        <v>39</v>
      </c>
      <c r="E243" s="1" t="s">
        <v>67</v>
      </c>
      <c r="F243" s="2">
        <v>66.41</v>
      </c>
      <c r="G243" s="2" t="s">
        <v>72</v>
      </c>
      <c r="H243" s="2">
        <v>12</v>
      </c>
      <c r="I243" s="2">
        <v>796.91</v>
      </c>
      <c r="J243" s="2" t="s">
        <v>63</v>
      </c>
      <c r="K243" s="2" t="s">
        <v>19</v>
      </c>
      <c r="L243" s="2" t="s">
        <v>41</v>
      </c>
      <c r="M243" s="2" t="s">
        <v>76</v>
      </c>
      <c r="N243" s="2" t="s">
        <v>1057</v>
      </c>
      <c r="O243" s="2" t="s">
        <v>1053</v>
      </c>
      <c r="P243" t="s">
        <v>1079</v>
      </c>
      <c r="Q243">
        <v>2024</v>
      </c>
    </row>
    <row r="244" spans="1:17" x14ac:dyDescent="0.25">
      <c r="A244" s="1" t="s">
        <v>414</v>
      </c>
      <c r="B244" s="3">
        <v>45734</v>
      </c>
      <c r="C244" s="1" t="s">
        <v>95</v>
      </c>
      <c r="D244" s="1" t="s">
        <v>39</v>
      </c>
      <c r="E244" s="1" t="s">
        <v>16</v>
      </c>
      <c r="F244" s="2">
        <v>180.98</v>
      </c>
      <c r="G244" s="2" t="s">
        <v>93</v>
      </c>
      <c r="H244" s="2">
        <v>14</v>
      </c>
      <c r="I244" s="2">
        <v>2533.7199999999998</v>
      </c>
      <c r="J244" s="2" t="s">
        <v>18</v>
      </c>
      <c r="K244" s="2" t="s">
        <v>19</v>
      </c>
      <c r="L244" s="2" t="s">
        <v>41</v>
      </c>
      <c r="M244" s="2" t="s">
        <v>76</v>
      </c>
      <c r="N244" s="2" t="s">
        <v>1054</v>
      </c>
      <c r="O244" s="2" t="s">
        <v>1053</v>
      </c>
      <c r="P244" t="s">
        <v>1079</v>
      </c>
      <c r="Q244">
        <v>2025</v>
      </c>
    </row>
    <row r="245" spans="1:17" x14ac:dyDescent="0.25">
      <c r="A245" s="1" t="s">
        <v>415</v>
      </c>
      <c r="B245" s="3">
        <v>45782</v>
      </c>
      <c r="C245" s="1" t="s">
        <v>128</v>
      </c>
      <c r="D245" s="1" t="s">
        <v>39</v>
      </c>
      <c r="E245" s="1" t="s">
        <v>67</v>
      </c>
      <c r="F245" s="2">
        <v>65.63</v>
      </c>
      <c r="G245" s="2" t="s">
        <v>72</v>
      </c>
      <c r="H245" s="2">
        <v>16</v>
      </c>
      <c r="I245" s="2">
        <v>1050.08</v>
      </c>
      <c r="J245" s="2" t="s">
        <v>18</v>
      </c>
      <c r="K245" s="2" t="s">
        <v>19</v>
      </c>
      <c r="L245" s="2" t="s">
        <v>27</v>
      </c>
      <c r="M245" s="2" t="s">
        <v>28</v>
      </c>
      <c r="N245" s="2" t="s">
        <v>1057</v>
      </c>
      <c r="O245" s="2" t="s">
        <v>1056</v>
      </c>
      <c r="P245" t="s">
        <v>1079</v>
      </c>
      <c r="Q245">
        <v>2025</v>
      </c>
    </row>
    <row r="246" spans="1:17" hidden="1" x14ac:dyDescent="0.25">
      <c r="A246" s="1" t="s">
        <v>416</v>
      </c>
      <c r="B246" s="3">
        <v>45581</v>
      </c>
      <c r="C246" s="1" t="s">
        <v>70</v>
      </c>
      <c r="D246" s="1" t="s">
        <v>15</v>
      </c>
      <c r="E246" s="1" t="s">
        <v>71</v>
      </c>
      <c r="F246" s="2">
        <v>151.01</v>
      </c>
      <c r="G246" s="2" t="s">
        <v>82</v>
      </c>
      <c r="H246" s="2">
        <v>11</v>
      </c>
      <c r="I246" s="2">
        <v>1661.12</v>
      </c>
      <c r="J246" s="2" t="s">
        <v>33</v>
      </c>
      <c r="K246" s="2" t="s">
        <v>19</v>
      </c>
      <c r="L246" s="2" t="s">
        <v>27</v>
      </c>
      <c r="M246" s="2" t="s">
        <v>59</v>
      </c>
      <c r="N246" s="2" t="s">
        <v>1046</v>
      </c>
      <c r="O246" s="2" t="s">
        <v>1059</v>
      </c>
      <c r="P246" t="s">
        <v>1079</v>
      </c>
      <c r="Q246">
        <v>2024</v>
      </c>
    </row>
    <row r="247" spans="1:17" x14ac:dyDescent="0.25">
      <c r="A247" s="1" t="s">
        <v>417</v>
      </c>
      <c r="B247" s="3">
        <v>45716</v>
      </c>
      <c r="C247" s="1" t="s">
        <v>97</v>
      </c>
      <c r="D247" s="1" t="s">
        <v>31</v>
      </c>
      <c r="E247" s="1" t="s">
        <v>45</v>
      </c>
      <c r="F247" s="2">
        <v>111.85</v>
      </c>
      <c r="G247" s="2" t="s">
        <v>46</v>
      </c>
      <c r="H247" s="2">
        <v>12</v>
      </c>
      <c r="I247" s="2">
        <v>1342.2</v>
      </c>
      <c r="J247" s="2" t="s">
        <v>33</v>
      </c>
      <c r="K247" s="2" t="s">
        <v>19</v>
      </c>
      <c r="L247" s="2" t="s">
        <v>35</v>
      </c>
      <c r="M247" s="2" t="s">
        <v>52</v>
      </c>
      <c r="N247" s="2" t="s">
        <v>1060</v>
      </c>
      <c r="O247" s="2" t="s">
        <v>1058</v>
      </c>
      <c r="P247" t="s">
        <v>1079</v>
      </c>
      <c r="Q247">
        <v>2025</v>
      </c>
    </row>
    <row r="248" spans="1:17" hidden="1" x14ac:dyDescent="0.25">
      <c r="A248" s="1" t="s">
        <v>418</v>
      </c>
      <c r="B248" s="3">
        <v>45522</v>
      </c>
      <c r="C248" s="1" t="s">
        <v>419</v>
      </c>
      <c r="D248" s="1" t="s">
        <v>24</v>
      </c>
      <c r="E248" s="1" t="s">
        <v>71</v>
      </c>
      <c r="F248" s="2">
        <v>88.65</v>
      </c>
      <c r="G248" s="2" t="s">
        <v>68</v>
      </c>
      <c r="H248" s="2">
        <v>18</v>
      </c>
      <c r="I248" s="2">
        <v>1595.67</v>
      </c>
      <c r="J248" s="2" t="s">
        <v>18</v>
      </c>
      <c r="K248" s="2" t="s">
        <v>19</v>
      </c>
      <c r="L248" s="2" t="s">
        <v>41</v>
      </c>
      <c r="M248" s="2" t="s">
        <v>76</v>
      </c>
      <c r="N248" s="2" t="s">
        <v>1051</v>
      </c>
      <c r="O248" s="2" t="s">
        <v>1055</v>
      </c>
      <c r="P248" t="s">
        <v>1079</v>
      </c>
      <c r="Q248">
        <v>2024</v>
      </c>
    </row>
    <row r="249" spans="1:17" hidden="1" x14ac:dyDescent="0.25">
      <c r="A249" s="1" t="s">
        <v>420</v>
      </c>
      <c r="B249" s="3">
        <v>45404</v>
      </c>
      <c r="C249" s="1" t="s">
        <v>66</v>
      </c>
      <c r="D249" s="1" t="s">
        <v>15</v>
      </c>
      <c r="E249" s="1" t="s">
        <v>16</v>
      </c>
      <c r="F249" s="2">
        <v>62.89</v>
      </c>
      <c r="G249" s="2" t="s">
        <v>62</v>
      </c>
      <c r="H249" s="2">
        <v>14</v>
      </c>
      <c r="I249" s="2">
        <v>880.48</v>
      </c>
      <c r="J249" s="2" t="s">
        <v>63</v>
      </c>
      <c r="K249" s="2" t="s">
        <v>19</v>
      </c>
      <c r="L249" s="2" t="s">
        <v>41</v>
      </c>
      <c r="M249" s="2" t="s">
        <v>141</v>
      </c>
      <c r="N249" s="2" t="s">
        <v>1048</v>
      </c>
      <c r="O249" s="2" t="s">
        <v>1056</v>
      </c>
      <c r="P249" t="s">
        <v>1079</v>
      </c>
      <c r="Q249">
        <v>2024</v>
      </c>
    </row>
    <row r="250" spans="1:17" x14ac:dyDescent="0.25">
      <c r="A250" s="1" t="s">
        <v>421</v>
      </c>
      <c r="B250" s="3">
        <v>45670</v>
      </c>
      <c r="C250" s="1" t="s">
        <v>419</v>
      </c>
      <c r="D250" s="1" t="s">
        <v>31</v>
      </c>
      <c r="E250" s="1" t="s">
        <v>25</v>
      </c>
      <c r="F250" s="2">
        <v>227.32</v>
      </c>
      <c r="G250" s="2" t="s">
        <v>98</v>
      </c>
      <c r="H250" s="2">
        <v>7</v>
      </c>
      <c r="I250" s="2">
        <v>1591.22</v>
      </c>
      <c r="J250" s="2" t="s">
        <v>18</v>
      </c>
      <c r="K250" s="2" t="s">
        <v>34</v>
      </c>
      <c r="L250" s="2" t="s">
        <v>20</v>
      </c>
      <c r="M250" s="2" t="s">
        <v>21</v>
      </c>
      <c r="N250" s="2" t="s">
        <v>1050</v>
      </c>
      <c r="O250" s="2" t="s">
        <v>1056</v>
      </c>
      <c r="P250" t="s">
        <v>1079</v>
      </c>
      <c r="Q250">
        <v>2025</v>
      </c>
    </row>
    <row r="251" spans="1:17" hidden="1" x14ac:dyDescent="0.25">
      <c r="A251" s="1" t="s">
        <v>422</v>
      </c>
      <c r="B251" s="3">
        <v>45467</v>
      </c>
      <c r="C251" s="1" t="s">
        <v>110</v>
      </c>
      <c r="D251" s="1" t="s">
        <v>39</v>
      </c>
      <c r="E251" s="1" t="s">
        <v>67</v>
      </c>
      <c r="F251" s="2">
        <v>92.58</v>
      </c>
      <c r="G251" s="2" t="s">
        <v>136</v>
      </c>
      <c r="H251" s="2">
        <v>15</v>
      </c>
      <c r="I251" s="2">
        <v>1388.67</v>
      </c>
      <c r="J251" s="2" t="s">
        <v>18</v>
      </c>
      <c r="K251" s="2" t="s">
        <v>19</v>
      </c>
      <c r="L251" s="2" t="s">
        <v>20</v>
      </c>
      <c r="M251" s="2" t="s">
        <v>64</v>
      </c>
      <c r="N251" s="2" t="s">
        <v>1062</v>
      </c>
      <c r="O251" s="2" t="s">
        <v>1056</v>
      </c>
      <c r="P251" t="s">
        <v>1079</v>
      </c>
      <c r="Q251">
        <v>2024</v>
      </c>
    </row>
    <row r="252" spans="1:17" hidden="1" x14ac:dyDescent="0.25">
      <c r="A252" s="1" t="s">
        <v>423</v>
      </c>
      <c r="B252" s="3">
        <v>45381</v>
      </c>
      <c r="C252" s="1" t="s">
        <v>114</v>
      </c>
      <c r="D252" s="1" t="s">
        <v>24</v>
      </c>
      <c r="E252" s="1" t="s">
        <v>45</v>
      </c>
      <c r="F252" s="2">
        <v>125.77</v>
      </c>
      <c r="G252" s="2" t="s">
        <v>26</v>
      </c>
      <c r="H252" s="2">
        <v>15</v>
      </c>
      <c r="I252" s="2">
        <v>1886.54</v>
      </c>
      <c r="J252" s="2" t="s">
        <v>63</v>
      </c>
      <c r="K252" s="2" t="s">
        <v>19</v>
      </c>
      <c r="L252" s="2" t="s">
        <v>41</v>
      </c>
      <c r="M252" s="2" t="s">
        <v>76</v>
      </c>
      <c r="N252" s="2" t="s">
        <v>1054</v>
      </c>
      <c r="O252" s="2" t="s">
        <v>1063</v>
      </c>
      <c r="P252" t="s">
        <v>1079</v>
      </c>
      <c r="Q252">
        <v>2024</v>
      </c>
    </row>
    <row r="253" spans="1:17" hidden="1" x14ac:dyDescent="0.25">
      <c r="A253" s="1" t="s">
        <v>424</v>
      </c>
      <c r="B253" s="3">
        <v>45401</v>
      </c>
      <c r="C253" s="1" t="s">
        <v>425</v>
      </c>
      <c r="D253" s="1" t="s">
        <v>55</v>
      </c>
      <c r="E253" s="1" t="s">
        <v>45</v>
      </c>
      <c r="F253" s="2">
        <v>818.56</v>
      </c>
      <c r="G253" s="2" t="s">
        <v>56</v>
      </c>
      <c r="H253" s="2">
        <v>5</v>
      </c>
      <c r="I253" s="2">
        <v>4092.81</v>
      </c>
      <c r="J253" s="2" t="s">
        <v>18</v>
      </c>
      <c r="K253" s="2" t="s">
        <v>19</v>
      </c>
      <c r="L253" s="2" t="s">
        <v>27</v>
      </c>
      <c r="M253" s="2" t="s">
        <v>59</v>
      </c>
      <c r="N253" s="2" t="s">
        <v>1048</v>
      </c>
      <c r="O253" s="2" t="s">
        <v>1058</v>
      </c>
      <c r="P253" t="s">
        <v>1078</v>
      </c>
      <c r="Q253">
        <v>2024</v>
      </c>
    </row>
    <row r="254" spans="1:17" hidden="1" x14ac:dyDescent="0.25">
      <c r="A254" s="1" t="s">
        <v>426</v>
      </c>
      <c r="B254" s="3">
        <v>45532</v>
      </c>
      <c r="C254" s="1" t="s">
        <v>54</v>
      </c>
      <c r="D254" s="1" t="s">
        <v>55</v>
      </c>
      <c r="E254" s="1" t="s">
        <v>71</v>
      </c>
      <c r="F254" s="2">
        <v>208.57</v>
      </c>
      <c r="G254" s="2" t="s">
        <v>90</v>
      </c>
      <c r="H254" s="2">
        <v>9</v>
      </c>
      <c r="I254" s="2">
        <v>1877.16</v>
      </c>
      <c r="J254" s="2" t="s">
        <v>63</v>
      </c>
      <c r="K254" s="2" t="s">
        <v>34</v>
      </c>
      <c r="L254" s="2" t="s">
        <v>27</v>
      </c>
      <c r="M254" s="2" t="s">
        <v>59</v>
      </c>
      <c r="N254" s="2" t="s">
        <v>1051</v>
      </c>
      <c r="O254" s="2" t="s">
        <v>1059</v>
      </c>
      <c r="P254" t="s">
        <v>1079</v>
      </c>
      <c r="Q254">
        <v>2024</v>
      </c>
    </row>
    <row r="255" spans="1:17" hidden="1" x14ac:dyDescent="0.25">
      <c r="A255" s="1" t="s">
        <v>427</v>
      </c>
      <c r="B255" s="3">
        <v>45552</v>
      </c>
      <c r="C255" s="1" t="s">
        <v>428</v>
      </c>
      <c r="D255" s="1" t="s">
        <v>15</v>
      </c>
      <c r="E255" s="1" t="s">
        <v>16</v>
      </c>
      <c r="F255" s="2">
        <v>202.38</v>
      </c>
      <c r="G255" s="2" t="s">
        <v>82</v>
      </c>
      <c r="H255" s="2">
        <v>12</v>
      </c>
      <c r="I255" s="2">
        <v>2428.5700000000002</v>
      </c>
      <c r="J255" s="2" t="s">
        <v>33</v>
      </c>
      <c r="K255" s="2" t="s">
        <v>19</v>
      </c>
      <c r="L255" s="2" t="s">
        <v>35</v>
      </c>
      <c r="M255" s="2" t="s">
        <v>52</v>
      </c>
      <c r="N255" s="2" t="s">
        <v>1049</v>
      </c>
      <c r="O255" s="2" t="s">
        <v>1053</v>
      </c>
      <c r="P255" t="s">
        <v>1079</v>
      </c>
      <c r="Q255">
        <v>2024</v>
      </c>
    </row>
    <row r="256" spans="1:17" hidden="1" x14ac:dyDescent="0.25">
      <c r="A256" s="1" t="s">
        <v>429</v>
      </c>
      <c r="B256" s="3">
        <v>45505</v>
      </c>
      <c r="C256" s="1" t="s">
        <v>110</v>
      </c>
      <c r="D256" s="1" t="s">
        <v>39</v>
      </c>
      <c r="E256" s="1" t="s">
        <v>16</v>
      </c>
      <c r="F256" s="2">
        <v>281.45999999999998</v>
      </c>
      <c r="G256" s="2" t="s">
        <v>1083</v>
      </c>
      <c r="H256" s="2">
        <v>12</v>
      </c>
      <c r="I256" s="2">
        <v>3377.47</v>
      </c>
      <c r="J256" s="2" t="s">
        <v>63</v>
      </c>
      <c r="K256" s="2" t="s">
        <v>19</v>
      </c>
      <c r="L256" s="2" t="s">
        <v>20</v>
      </c>
      <c r="M256" s="2" t="s">
        <v>88</v>
      </c>
      <c r="N256" s="2" t="s">
        <v>1051</v>
      </c>
      <c r="O256" s="2" t="s">
        <v>1047</v>
      </c>
      <c r="P256" t="s">
        <v>1079</v>
      </c>
      <c r="Q256">
        <v>2024</v>
      </c>
    </row>
    <row r="257" spans="1:17" x14ac:dyDescent="0.25">
      <c r="A257" s="1" t="s">
        <v>430</v>
      </c>
      <c r="B257" s="3">
        <v>45928</v>
      </c>
      <c r="C257" s="1" t="s">
        <v>431</v>
      </c>
      <c r="D257" s="1" t="s">
        <v>31</v>
      </c>
      <c r="E257" s="1" t="s">
        <v>16</v>
      </c>
      <c r="F257" s="2">
        <v>287.63</v>
      </c>
      <c r="G257" s="2" t="s">
        <v>31</v>
      </c>
      <c r="H257" s="2">
        <v>14</v>
      </c>
      <c r="I257" s="2">
        <v>4026.87</v>
      </c>
      <c r="J257" s="2" t="s">
        <v>63</v>
      </c>
      <c r="K257" s="2" t="s">
        <v>19</v>
      </c>
      <c r="L257" s="2" t="s">
        <v>20</v>
      </c>
      <c r="M257" s="2" t="s">
        <v>64</v>
      </c>
      <c r="N257" s="2" t="s">
        <v>1049</v>
      </c>
      <c r="O257" s="2" t="s">
        <v>1055</v>
      </c>
      <c r="P257" t="s">
        <v>1079</v>
      </c>
      <c r="Q257">
        <v>2025</v>
      </c>
    </row>
    <row r="258" spans="1:17" hidden="1" x14ac:dyDescent="0.25">
      <c r="A258" s="1" t="s">
        <v>432</v>
      </c>
      <c r="B258" s="3">
        <v>45535</v>
      </c>
      <c r="C258" s="1" t="s">
        <v>324</v>
      </c>
      <c r="D258" s="1" t="s">
        <v>39</v>
      </c>
      <c r="E258" s="1" t="s">
        <v>45</v>
      </c>
      <c r="F258" s="2">
        <v>126.41</v>
      </c>
      <c r="G258" s="2" t="s">
        <v>40</v>
      </c>
      <c r="H258" s="2">
        <v>13</v>
      </c>
      <c r="I258" s="2">
        <v>1643.29</v>
      </c>
      <c r="J258" s="2" t="s">
        <v>18</v>
      </c>
      <c r="K258" s="2" t="s">
        <v>19</v>
      </c>
      <c r="L258" s="2" t="s">
        <v>27</v>
      </c>
      <c r="M258" s="2" t="s">
        <v>28</v>
      </c>
      <c r="N258" s="2" t="s">
        <v>1051</v>
      </c>
      <c r="O258" s="2" t="s">
        <v>1063</v>
      </c>
      <c r="P258" t="s">
        <v>1079</v>
      </c>
      <c r="Q258">
        <v>2024</v>
      </c>
    </row>
    <row r="259" spans="1:17" hidden="1" x14ac:dyDescent="0.25">
      <c r="A259" s="1" t="s">
        <v>433</v>
      </c>
      <c r="B259" s="3">
        <v>45415</v>
      </c>
      <c r="C259" s="1" t="s">
        <v>58</v>
      </c>
      <c r="D259" s="1" t="s">
        <v>39</v>
      </c>
      <c r="E259" s="1" t="s">
        <v>71</v>
      </c>
      <c r="F259" s="2">
        <v>430.62</v>
      </c>
      <c r="G259" s="2" t="s">
        <v>93</v>
      </c>
      <c r="H259" s="2">
        <v>10</v>
      </c>
      <c r="I259" s="2">
        <v>166.2715</v>
      </c>
      <c r="J259" s="2" t="s">
        <v>18</v>
      </c>
      <c r="K259" s="2" t="s">
        <v>34</v>
      </c>
      <c r="L259" s="2" t="s">
        <v>27</v>
      </c>
      <c r="M259" s="2" t="s">
        <v>161</v>
      </c>
      <c r="N259" s="2" t="s">
        <v>1057</v>
      </c>
      <c r="O259" s="2" t="s">
        <v>1058</v>
      </c>
      <c r="P259" t="s">
        <v>1079</v>
      </c>
      <c r="Q259">
        <v>2024</v>
      </c>
    </row>
    <row r="260" spans="1:17" x14ac:dyDescent="0.25">
      <c r="A260" s="1" t="s">
        <v>434</v>
      </c>
      <c r="B260" s="3">
        <v>45755</v>
      </c>
      <c r="C260" s="1" t="s">
        <v>204</v>
      </c>
      <c r="D260" s="1" t="s">
        <v>31</v>
      </c>
      <c r="E260" s="1" t="s">
        <v>67</v>
      </c>
      <c r="F260" s="2">
        <v>298.06</v>
      </c>
      <c r="G260" s="2" t="s">
        <v>98</v>
      </c>
      <c r="H260" s="2">
        <v>11</v>
      </c>
      <c r="I260" s="2">
        <v>3278.71</v>
      </c>
      <c r="J260" s="2" t="s">
        <v>18</v>
      </c>
      <c r="K260" s="2" t="s">
        <v>19</v>
      </c>
      <c r="L260" s="2" t="s">
        <v>47</v>
      </c>
      <c r="M260" s="2" t="s">
        <v>85</v>
      </c>
      <c r="N260" s="2" t="s">
        <v>1048</v>
      </c>
      <c r="O260" s="2" t="s">
        <v>1053</v>
      </c>
      <c r="P260" t="s">
        <v>1079</v>
      </c>
      <c r="Q260">
        <v>2025</v>
      </c>
    </row>
    <row r="261" spans="1:17" x14ac:dyDescent="0.25">
      <c r="A261" s="1" t="s">
        <v>435</v>
      </c>
      <c r="B261" s="3">
        <v>45838</v>
      </c>
      <c r="C261" s="1" t="s">
        <v>95</v>
      </c>
      <c r="D261" s="1" t="s">
        <v>39</v>
      </c>
      <c r="E261" s="1" t="s">
        <v>71</v>
      </c>
      <c r="F261" s="2">
        <v>157.55000000000001</v>
      </c>
      <c r="G261" s="2" t="s">
        <v>136</v>
      </c>
      <c r="H261" s="2">
        <v>11</v>
      </c>
      <c r="I261" s="2">
        <v>1733</v>
      </c>
      <c r="J261" s="2" t="s">
        <v>18</v>
      </c>
      <c r="K261" s="2" t="s">
        <v>19</v>
      </c>
      <c r="L261" s="2" t="s">
        <v>47</v>
      </c>
      <c r="M261" s="2" t="s">
        <v>85</v>
      </c>
      <c r="N261" s="2" t="s">
        <v>1062</v>
      </c>
      <c r="O261" s="2" t="s">
        <v>1056</v>
      </c>
      <c r="P261" t="s">
        <v>1079</v>
      </c>
      <c r="Q261">
        <v>2025</v>
      </c>
    </row>
    <row r="262" spans="1:17" x14ac:dyDescent="0.25">
      <c r="A262" s="1" t="s">
        <v>436</v>
      </c>
      <c r="B262" s="3">
        <v>45942</v>
      </c>
      <c r="C262" s="1" t="s">
        <v>431</v>
      </c>
      <c r="D262" s="1" t="s">
        <v>24</v>
      </c>
      <c r="E262" s="1" t="s">
        <v>45</v>
      </c>
      <c r="F262" s="2">
        <v>2080.91</v>
      </c>
      <c r="G262" s="2" t="s">
        <v>68</v>
      </c>
      <c r="H262" s="2">
        <v>1</v>
      </c>
      <c r="I262" s="2">
        <v>2080.91</v>
      </c>
      <c r="J262" s="2" t="s">
        <v>18</v>
      </c>
      <c r="K262" s="2" t="s">
        <v>34</v>
      </c>
      <c r="L262" s="2" t="s">
        <v>35</v>
      </c>
      <c r="M262" s="2" t="s">
        <v>52</v>
      </c>
      <c r="N262" s="2" t="s">
        <v>1046</v>
      </c>
      <c r="O262" s="2" t="s">
        <v>1055</v>
      </c>
      <c r="P262" t="s">
        <v>1079</v>
      </c>
      <c r="Q262">
        <v>2025</v>
      </c>
    </row>
    <row r="263" spans="1:17" hidden="1" x14ac:dyDescent="0.25">
      <c r="A263" s="1" t="s">
        <v>437</v>
      </c>
      <c r="B263" s="3">
        <v>45562</v>
      </c>
      <c r="C263" s="1" t="s">
        <v>381</v>
      </c>
      <c r="D263" s="1" t="s">
        <v>31</v>
      </c>
      <c r="E263" s="1" t="s">
        <v>45</v>
      </c>
      <c r="F263" s="2">
        <v>48.19</v>
      </c>
      <c r="G263" s="2" t="s">
        <v>32</v>
      </c>
      <c r="H263" s="2">
        <v>11</v>
      </c>
      <c r="I263" s="2">
        <v>530.13</v>
      </c>
      <c r="J263" s="2" t="s">
        <v>18</v>
      </c>
      <c r="K263" s="2" t="s">
        <v>19</v>
      </c>
      <c r="L263" s="2" t="s">
        <v>41</v>
      </c>
      <c r="M263" s="2" t="s">
        <v>42</v>
      </c>
      <c r="N263" s="2" t="s">
        <v>1049</v>
      </c>
      <c r="O263" s="2" t="s">
        <v>1058</v>
      </c>
      <c r="P263" t="s">
        <v>1079</v>
      </c>
      <c r="Q263">
        <v>2024</v>
      </c>
    </row>
    <row r="264" spans="1:17" hidden="1" x14ac:dyDescent="0.25">
      <c r="A264" s="1" t="s">
        <v>438</v>
      </c>
      <c r="B264" s="3">
        <v>45417</v>
      </c>
      <c r="C264" s="1" t="s">
        <v>439</v>
      </c>
      <c r="D264" s="1" t="s">
        <v>55</v>
      </c>
      <c r="E264" s="1" t="s">
        <v>67</v>
      </c>
      <c r="F264" s="2">
        <v>13.8</v>
      </c>
      <c r="G264" s="2" t="s">
        <v>79</v>
      </c>
      <c r="H264" s="2">
        <v>112</v>
      </c>
      <c r="I264" s="2">
        <v>1545.69</v>
      </c>
      <c r="J264" s="2" t="s">
        <v>18</v>
      </c>
      <c r="K264" s="2" t="s">
        <v>19</v>
      </c>
      <c r="L264" s="2" t="s">
        <v>41</v>
      </c>
      <c r="M264" s="2" t="s">
        <v>76</v>
      </c>
      <c r="N264" s="2" t="s">
        <v>1057</v>
      </c>
      <c r="O264" s="2" t="s">
        <v>1055</v>
      </c>
      <c r="P264" t="s">
        <v>1079</v>
      </c>
      <c r="Q264">
        <v>2024</v>
      </c>
    </row>
    <row r="265" spans="1:17" hidden="1" x14ac:dyDescent="0.25">
      <c r="A265" s="1" t="s">
        <v>440</v>
      </c>
      <c r="B265" s="3">
        <v>45402</v>
      </c>
      <c r="C265" s="1" t="s">
        <v>292</v>
      </c>
      <c r="D265" s="1" t="s">
        <v>39</v>
      </c>
      <c r="E265" s="1" t="s">
        <v>71</v>
      </c>
      <c r="F265" s="2">
        <v>17.63</v>
      </c>
      <c r="G265" s="2" t="s">
        <v>72</v>
      </c>
      <c r="H265" s="2">
        <v>100</v>
      </c>
      <c r="I265" s="2">
        <v>1763.09</v>
      </c>
      <c r="J265" s="2" t="s">
        <v>63</v>
      </c>
      <c r="K265" s="2" t="s">
        <v>19</v>
      </c>
      <c r="L265" s="2" t="s">
        <v>41</v>
      </c>
      <c r="M265" s="2" t="s">
        <v>76</v>
      </c>
      <c r="N265" s="2" t="s">
        <v>1048</v>
      </c>
      <c r="O265" s="2" t="s">
        <v>1063</v>
      </c>
      <c r="P265" t="s">
        <v>1079</v>
      </c>
      <c r="Q265">
        <v>2024</v>
      </c>
    </row>
    <row r="266" spans="1:17" x14ac:dyDescent="0.25">
      <c r="A266" s="1" t="s">
        <v>441</v>
      </c>
      <c r="B266" s="3">
        <v>45882</v>
      </c>
      <c r="C266" s="1" t="s">
        <v>311</v>
      </c>
      <c r="D266" s="1" t="s">
        <v>31</v>
      </c>
      <c r="E266" s="1" t="s">
        <v>45</v>
      </c>
      <c r="F266" s="2">
        <v>50.22</v>
      </c>
      <c r="G266" s="2" t="s">
        <v>32</v>
      </c>
      <c r="H266" s="2">
        <v>13</v>
      </c>
      <c r="I266" s="2">
        <v>652.79999999999995</v>
      </c>
      <c r="J266" s="2" t="s">
        <v>18</v>
      </c>
      <c r="K266" s="2" t="s">
        <v>19</v>
      </c>
      <c r="L266" s="2" t="s">
        <v>35</v>
      </c>
      <c r="M266" s="2" t="s">
        <v>36</v>
      </c>
      <c r="N266" s="2" t="s">
        <v>1051</v>
      </c>
      <c r="O266" s="2" t="s">
        <v>1059</v>
      </c>
      <c r="P266" t="s">
        <v>1079</v>
      </c>
      <c r="Q266">
        <v>2025</v>
      </c>
    </row>
    <row r="267" spans="1:17" hidden="1" x14ac:dyDescent="0.25">
      <c r="A267" s="1" t="s">
        <v>442</v>
      </c>
      <c r="B267" s="3">
        <v>45512</v>
      </c>
      <c r="C267" s="1" t="s">
        <v>54</v>
      </c>
      <c r="D267" s="1" t="s">
        <v>15</v>
      </c>
      <c r="E267" s="1" t="s">
        <v>45</v>
      </c>
      <c r="F267" s="2">
        <v>250.97</v>
      </c>
      <c r="G267" s="2" t="s">
        <v>51</v>
      </c>
      <c r="H267" s="2">
        <v>13</v>
      </c>
      <c r="I267" s="2">
        <v>3262.58</v>
      </c>
      <c r="J267" s="2" t="s">
        <v>63</v>
      </c>
      <c r="K267" s="2" t="s">
        <v>19</v>
      </c>
      <c r="L267" s="2" t="s">
        <v>35</v>
      </c>
      <c r="M267" s="2" t="s">
        <v>36</v>
      </c>
      <c r="N267" s="2" t="s">
        <v>1051</v>
      </c>
      <c r="O267" s="2" t="s">
        <v>1047</v>
      </c>
      <c r="P267" t="s">
        <v>1079</v>
      </c>
      <c r="Q267">
        <v>2024</v>
      </c>
    </row>
    <row r="268" spans="1:17" hidden="1" x14ac:dyDescent="0.25">
      <c r="A268" s="1" t="s">
        <v>443</v>
      </c>
      <c r="B268" s="3">
        <v>45536</v>
      </c>
      <c r="C268" s="1" t="s">
        <v>375</v>
      </c>
      <c r="D268" s="1" t="s">
        <v>39</v>
      </c>
      <c r="E268" s="1" t="s">
        <v>67</v>
      </c>
      <c r="F268" s="2">
        <v>590.42999999999995</v>
      </c>
      <c r="G268" s="2" t="s">
        <v>136</v>
      </c>
      <c r="H268" s="2">
        <v>1</v>
      </c>
      <c r="I268" s="2">
        <v>590.42999999999995</v>
      </c>
      <c r="J268" s="2" t="s">
        <v>18</v>
      </c>
      <c r="K268" s="2" t="s">
        <v>34</v>
      </c>
      <c r="L268" s="2" t="s">
        <v>41</v>
      </c>
      <c r="M268" s="2" t="s">
        <v>42</v>
      </c>
      <c r="N268" s="2" t="s">
        <v>1049</v>
      </c>
      <c r="O268" s="2" t="s">
        <v>1055</v>
      </c>
      <c r="P268" t="s">
        <v>1079</v>
      </c>
      <c r="Q268">
        <v>2024</v>
      </c>
    </row>
    <row r="269" spans="1:17" hidden="1" x14ac:dyDescent="0.25">
      <c r="A269" s="1" t="s">
        <v>444</v>
      </c>
      <c r="B269" s="3">
        <v>45576</v>
      </c>
      <c r="C269" s="1" t="s">
        <v>152</v>
      </c>
      <c r="D269" s="1" t="s">
        <v>31</v>
      </c>
      <c r="E269" s="1" t="s">
        <v>25</v>
      </c>
      <c r="F269" s="2">
        <v>154.44</v>
      </c>
      <c r="G269" s="2" t="s">
        <v>32</v>
      </c>
      <c r="H269" s="2">
        <v>12</v>
      </c>
      <c r="I269" s="2">
        <v>1853.32</v>
      </c>
      <c r="J269" s="2" t="s">
        <v>33</v>
      </c>
      <c r="K269" s="2" t="s">
        <v>19</v>
      </c>
      <c r="L269" s="2" t="s">
        <v>41</v>
      </c>
      <c r="M269" s="2" t="s">
        <v>76</v>
      </c>
      <c r="N269" s="2" t="s">
        <v>1046</v>
      </c>
      <c r="O269" s="2" t="s">
        <v>1058</v>
      </c>
      <c r="P269" t="s">
        <v>1079</v>
      </c>
      <c r="Q269">
        <v>2024</v>
      </c>
    </row>
    <row r="270" spans="1:17" hidden="1" x14ac:dyDescent="0.25">
      <c r="A270" s="1" t="s">
        <v>445</v>
      </c>
      <c r="B270" s="3">
        <v>45588</v>
      </c>
      <c r="C270" s="1" t="s">
        <v>446</v>
      </c>
      <c r="D270" s="1" t="s">
        <v>31</v>
      </c>
      <c r="E270" s="1" t="s">
        <v>67</v>
      </c>
      <c r="F270" s="2">
        <v>137.78</v>
      </c>
      <c r="G270" s="2" t="s">
        <v>98</v>
      </c>
      <c r="H270" s="2">
        <v>18</v>
      </c>
      <c r="I270" s="2">
        <v>2480.0700000000002</v>
      </c>
      <c r="J270" s="2" t="s">
        <v>18</v>
      </c>
      <c r="K270" s="2" t="s">
        <v>19</v>
      </c>
      <c r="L270" s="2" t="s">
        <v>35</v>
      </c>
      <c r="M270" s="2" t="s">
        <v>126</v>
      </c>
      <c r="N270" s="2" t="s">
        <v>1046</v>
      </c>
      <c r="O270" s="2" t="s">
        <v>1059</v>
      </c>
      <c r="P270" t="s">
        <v>1079</v>
      </c>
      <c r="Q270">
        <v>2024</v>
      </c>
    </row>
    <row r="271" spans="1:17" hidden="1" x14ac:dyDescent="0.25">
      <c r="A271" s="1" t="s">
        <v>447</v>
      </c>
      <c r="B271" s="3">
        <v>45583</v>
      </c>
      <c r="C271" s="1" t="s">
        <v>156</v>
      </c>
      <c r="D271" s="1" t="s">
        <v>31</v>
      </c>
      <c r="E271" s="1" t="s">
        <v>16</v>
      </c>
      <c r="F271" s="2">
        <v>71.2</v>
      </c>
      <c r="G271" s="2" t="s">
        <v>32</v>
      </c>
      <c r="H271" s="2">
        <v>10</v>
      </c>
      <c r="I271" s="2">
        <v>712</v>
      </c>
      <c r="J271" s="2" t="s">
        <v>63</v>
      </c>
      <c r="K271" s="2" t="s">
        <v>34</v>
      </c>
      <c r="L271" s="2" t="s">
        <v>41</v>
      </c>
      <c r="M271" s="2" t="s">
        <v>76</v>
      </c>
      <c r="N271" s="2" t="s">
        <v>1046</v>
      </c>
      <c r="O271" s="2" t="s">
        <v>1058</v>
      </c>
      <c r="P271" t="s">
        <v>1079</v>
      </c>
      <c r="Q271">
        <v>2024</v>
      </c>
    </row>
    <row r="272" spans="1:17" hidden="1" x14ac:dyDescent="0.25">
      <c r="A272" s="1" t="s">
        <v>448</v>
      </c>
      <c r="B272" s="3">
        <v>45574</v>
      </c>
      <c r="C272" s="1" t="s">
        <v>254</v>
      </c>
      <c r="D272" s="1" t="s">
        <v>55</v>
      </c>
      <c r="E272" s="1" t="s">
        <v>25</v>
      </c>
      <c r="F272" s="2">
        <v>110.5</v>
      </c>
      <c r="G272" s="2" t="s">
        <v>90</v>
      </c>
      <c r="H272" s="2">
        <v>14</v>
      </c>
      <c r="I272" s="2">
        <v>1547.05</v>
      </c>
      <c r="J272" s="2" t="s">
        <v>18</v>
      </c>
      <c r="K272" s="2" t="s">
        <v>19</v>
      </c>
      <c r="L272" s="2" t="s">
        <v>47</v>
      </c>
      <c r="M272" s="2" t="s">
        <v>85</v>
      </c>
      <c r="N272" s="2" t="s">
        <v>1046</v>
      </c>
      <c r="O272" s="2" t="s">
        <v>1059</v>
      </c>
      <c r="P272" t="s">
        <v>1079</v>
      </c>
      <c r="Q272">
        <v>2024</v>
      </c>
    </row>
    <row r="273" spans="1:17" x14ac:dyDescent="0.25">
      <c r="A273" s="1" t="s">
        <v>449</v>
      </c>
      <c r="B273" s="3">
        <v>45687</v>
      </c>
      <c r="C273" s="1" t="s">
        <v>58</v>
      </c>
      <c r="D273" s="1" t="s">
        <v>55</v>
      </c>
      <c r="E273" s="1" t="s">
        <v>67</v>
      </c>
      <c r="F273" s="2">
        <v>66.16</v>
      </c>
      <c r="G273" s="2" t="s">
        <v>90</v>
      </c>
      <c r="H273" s="2">
        <v>18</v>
      </c>
      <c r="I273" s="2">
        <v>1190.8599999999999</v>
      </c>
      <c r="J273" s="2" t="s">
        <v>18</v>
      </c>
      <c r="K273" s="2" t="s">
        <v>19</v>
      </c>
      <c r="L273" s="2" t="s">
        <v>35</v>
      </c>
      <c r="M273" s="2" t="s">
        <v>36</v>
      </c>
      <c r="N273" s="2" t="s">
        <v>1050</v>
      </c>
      <c r="O273" s="2" t="s">
        <v>1047</v>
      </c>
      <c r="P273" t="s">
        <v>1079</v>
      </c>
      <c r="Q273">
        <v>2025</v>
      </c>
    </row>
    <row r="274" spans="1:17" x14ac:dyDescent="0.25">
      <c r="A274" s="1" t="s">
        <v>450</v>
      </c>
      <c r="B274" s="3">
        <v>45952</v>
      </c>
      <c r="C274" s="1" t="s">
        <v>363</v>
      </c>
      <c r="D274" s="1" t="s">
        <v>31</v>
      </c>
      <c r="E274" s="1" t="s">
        <v>16</v>
      </c>
      <c r="F274" s="2">
        <v>1075.93</v>
      </c>
      <c r="G274" s="2" t="s">
        <v>31</v>
      </c>
      <c r="H274" s="2">
        <v>1</v>
      </c>
      <c r="I274" s="2">
        <v>1075.93</v>
      </c>
      <c r="J274" s="2" t="s">
        <v>33</v>
      </c>
      <c r="K274" s="2" t="s">
        <v>34</v>
      </c>
      <c r="L274" s="2" t="s">
        <v>41</v>
      </c>
      <c r="M274" s="2" t="s">
        <v>76</v>
      </c>
      <c r="N274" s="2" t="s">
        <v>1046</v>
      </c>
      <c r="O274" s="2" t="s">
        <v>1059</v>
      </c>
      <c r="P274" t="s">
        <v>1079</v>
      </c>
      <c r="Q274">
        <v>2025</v>
      </c>
    </row>
    <row r="275" spans="1:17" hidden="1" x14ac:dyDescent="0.25">
      <c r="A275" s="1" t="s">
        <v>451</v>
      </c>
      <c r="B275" s="3">
        <v>45401</v>
      </c>
      <c r="C275" s="1" t="s">
        <v>302</v>
      </c>
      <c r="D275" s="1" t="s">
        <v>31</v>
      </c>
      <c r="E275" s="1" t="s">
        <v>67</v>
      </c>
      <c r="F275" s="2">
        <v>23.88</v>
      </c>
      <c r="G275" s="2" t="s">
        <v>98</v>
      </c>
      <c r="H275" s="2">
        <v>101</v>
      </c>
      <c r="I275" s="2">
        <v>2411.42</v>
      </c>
      <c r="J275" s="2" t="s">
        <v>33</v>
      </c>
      <c r="K275" s="2" t="s">
        <v>19</v>
      </c>
      <c r="L275" s="2" t="s">
        <v>27</v>
      </c>
      <c r="M275" s="2" t="s">
        <v>59</v>
      </c>
      <c r="N275" s="2" t="s">
        <v>1048</v>
      </c>
      <c r="O275" s="2" t="s">
        <v>1058</v>
      </c>
      <c r="P275" t="s">
        <v>1079</v>
      </c>
      <c r="Q275">
        <v>2024</v>
      </c>
    </row>
    <row r="276" spans="1:17" x14ac:dyDescent="0.25">
      <c r="A276" s="1" t="s">
        <v>452</v>
      </c>
      <c r="B276" s="3">
        <v>45858</v>
      </c>
      <c r="C276" s="1" t="s">
        <v>453</v>
      </c>
      <c r="D276" s="1" t="s">
        <v>15</v>
      </c>
      <c r="E276" s="1" t="s">
        <v>16</v>
      </c>
      <c r="F276" s="2">
        <v>196.47</v>
      </c>
      <c r="G276" s="2" t="s">
        <v>51</v>
      </c>
      <c r="H276" s="2">
        <v>14</v>
      </c>
      <c r="I276" s="2">
        <v>2750.6</v>
      </c>
      <c r="J276" s="2" t="s">
        <v>63</v>
      </c>
      <c r="K276" s="2" t="s">
        <v>19</v>
      </c>
      <c r="L276" s="2" t="s">
        <v>27</v>
      </c>
      <c r="M276" s="2" t="s">
        <v>28</v>
      </c>
      <c r="N276" s="2" t="s">
        <v>1052</v>
      </c>
      <c r="O276" s="2" t="s">
        <v>1055</v>
      </c>
      <c r="P276" t="s">
        <v>1079</v>
      </c>
      <c r="Q276">
        <v>2025</v>
      </c>
    </row>
    <row r="277" spans="1:17" x14ac:dyDescent="0.25">
      <c r="A277" s="1" t="s">
        <v>454</v>
      </c>
      <c r="B277" s="3">
        <v>45949</v>
      </c>
      <c r="C277" s="1" t="s">
        <v>228</v>
      </c>
      <c r="D277" s="1" t="s">
        <v>31</v>
      </c>
      <c r="E277" s="1" t="s">
        <v>45</v>
      </c>
      <c r="F277" s="2">
        <v>115.82</v>
      </c>
      <c r="G277" s="2" t="s">
        <v>46</v>
      </c>
      <c r="H277" s="2">
        <v>13</v>
      </c>
      <c r="I277" s="2">
        <v>1505.66</v>
      </c>
      <c r="J277" s="2" t="s">
        <v>18</v>
      </c>
      <c r="K277" s="2" t="s">
        <v>19</v>
      </c>
      <c r="L277" s="2" t="s">
        <v>27</v>
      </c>
      <c r="M277" s="2" t="s">
        <v>59</v>
      </c>
      <c r="N277" s="2" t="s">
        <v>1046</v>
      </c>
      <c r="O277" s="2" t="s">
        <v>1055</v>
      </c>
      <c r="P277" t="s">
        <v>1079</v>
      </c>
      <c r="Q277">
        <v>2025</v>
      </c>
    </row>
    <row r="278" spans="1:17" hidden="1" x14ac:dyDescent="0.25">
      <c r="A278" s="1" t="s">
        <v>455</v>
      </c>
      <c r="B278" s="3">
        <v>45568</v>
      </c>
      <c r="C278" s="1" t="s">
        <v>363</v>
      </c>
      <c r="D278" s="1" t="s">
        <v>55</v>
      </c>
      <c r="E278" s="1" t="s">
        <v>45</v>
      </c>
      <c r="F278" s="2">
        <v>762.66</v>
      </c>
      <c r="G278" s="2" t="s">
        <v>56</v>
      </c>
      <c r="H278" s="2">
        <v>1</v>
      </c>
      <c r="I278" s="2">
        <v>762.66</v>
      </c>
      <c r="J278" s="2" t="s">
        <v>18</v>
      </c>
      <c r="K278" s="2" t="s">
        <v>34</v>
      </c>
      <c r="L278" s="2" t="s">
        <v>41</v>
      </c>
      <c r="M278" s="2" t="s">
        <v>141</v>
      </c>
      <c r="N278" s="2" t="s">
        <v>1046</v>
      </c>
      <c r="O278" s="2" t="s">
        <v>1047</v>
      </c>
      <c r="P278" t="s">
        <v>1079</v>
      </c>
      <c r="Q278">
        <v>2024</v>
      </c>
    </row>
    <row r="279" spans="1:17" x14ac:dyDescent="0.25">
      <c r="A279" s="1" t="s">
        <v>456</v>
      </c>
      <c r="B279" s="3">
        <v>45677</v>
      </c>
      <c r="C279" s="1" t="s">
        <v>104</v>
      </c>
      <c r="D279" s="1" t="s">
        <v>24</v>
      </c>
      <c r="E279" s="1" t="s">
        <v>16</v>
      </c>
      <c r="F279" s="2">
        <v>173.39</v>
      </c>
      <c r="G279" s="2" t="s">
        <v>75</v>
      </c>
      <c r="H279" s="2">
        <v>11</v>
      </c>
      <c r="I279" s="2">
        <v>1907.29</v>
      </c>
      <c r="J279" s="2" t="s">
        <v>18</v>
      </c>
      <c r="K279" s="2" t="s">
        <v>19</v>
      </c>
      <c r="L279" s="2" t="s">
        <v>20</v>
      </c>
      <c r="M279" s="2" t="s">
        <v>21</v>
      </c>
      <c r="N279" s="2" t="s">
        <v>1050</v>
      </c>
      <c r="O279" s="2" t="s">
        <v>1056</v>
      </c>
      <c r="P279" t="s">
        <v>1079</v>
      </c>
      <c r="Q279">
        <v>2025</v>
      </c>
    </row>
    <row r="280" spans="1:17" hidden="1" x14ac:dyDescent="0.25">
      <c r="A280" s="1" t="s">
        <v>457</v>
      </c>
      <c r="B280" s="3">
        <v>45614</v>
      </c>
      <c r="C280" s="1" t="s">
        <v>23</v>
      </c>
      <c r="D280" s="1" t="s">
        <v>15</v>
      </c>
      <c r="E280" s="1" t="s">
        <v>67</v>
      </c>
      <c r="F280" s="2">
        <v>147.65</v>
      </c>
      <c r="G280" s="2" t="s">
        <v>62</v>
      </c>
      <c r="H280" s="2">
        <v>6</v>
      </c>
      <c r="I280" s="2">
        <v>885.9</v>
      </c>
      <c r="J280" s="2" t="s">
        <v>18</v>
      </c>
      <c r="K280" s="2" t="s">
        <v>34</v>
      </c>
      <c r="L280" s="2" t="s">
        <v>47</v>
      </c>
      <c r="M280" s="2" t="s">
        <v>85</v>
      </c>
      <c r="N280" s="2" t="s">
        <v>1064</v>
      </c>
      <c r="O280" s="2" t="s">
        <v>1056</v>
      </c>
      <c r="P280" t="s">
        <v>1079</v>
      </c>
      <c r="Q280">
        <v>2024</v>
      </c>
    </row>
    <row r="281" spans="1:17" x14ac:dyDescent="0.25">
      <c r="A281" s="1" t="s">
        <v>458</v>
      </c>
      <c r="B281" s="3">
        <v>45871</v>
      </c>
      <c r="C281" s="1" t="s">
        <v>302</v>
      </c>
      <c r="D281" s="1" t="s">
        <v>24</v>
      </c>
      <c r="E281" s="1" t="s">
        <v>25</v>
      </c>
      <c r="F281" s="2">
        <v>152</v>
      </c>
      <c r="G281" s="2" t="s">
        <v>170</v>
      </c>
      <c r="H281" s="2">
        <v>10</v>
      </c>
      <c r="I281" s="2">
        <v>13174.279999999999</v>
      </c>
      <c r="J281" s="2" t="s">
        <v>18</v>
      </c>
      <c r="K281" s="2" t="s">
        <v>19</v>
      </c>
      <c r="L281" s="2" t="s">
        <v>35</v>
      </c>
      <c r="M281" s="2" t="s">
        <v>36</v>
      </c>
      <c r="N281" s="2" t="s">
        <v>1051</v>
      </c>
      <c r="O281" s="2" t="s">
        <v>1063</v>
      </c>
      <c r="P281" t="s">
        <v>1078</v>
      </c>
      <c r="Q281">
        <v>2025</v>
      </c>
    </row>
    <row r="282" spans="1:17" x14ac:dyDescent="0.25">
      <c r="A282" s="1" t="s">
        <v>459</v>
      </c>
      <c r="B282" s="3">
        <v>45903</v>
      </c>
      <c r="C282" s="1" t="s">
        <v>363</v>
      </c>
      <c r="D282" s="1" t="s">
        <v>39</v>
      </c>
      <c r="E282" s="1" t="s">
        <v>16</v>
      </c>
      <c r="F282" s="2">
        <v>141.25</v>
      </c>
      <c r="G282" s="2" t="s">
        <v>72</v>
      </c>
      <c r="H282" s="2">
        <v>12</v>
      </c>
      <c r="I282" s="2">
        <v>1695</v>
      </c>
      <c r="J282" s="2" t="s">
        <v>63</v>
      </c>
      <c r="K282" s="2" t="s">
        <v>19</v>
      </c>
      <c r="L282" s="2" t="s">
        <v>47</v>
      </c>
      <c r="M282" s="2" t="s">
        <v>48</v>
      </c>
      <c r="N282" s="2" t="s">
        <v>1049</v>
      </c>
      <c r="O282" s="2" t="s">
        <v>1059</v>
      </c>
      <c r="P282" t="s">
        <v>1079</v>
      </c>
      <c r="Q282">
        <v>2025</v>
      </c>
    </row>
    <row r="283" spans="1:17" hidden="1" x14ac:dyDescent="0.25">
      <c r="A283" s="1" t="s">
        <v>460</v>
      </c>
      <c r="B283" s="3">
        <v>45532</v>
      </c>
      <c r="C283" s="1" t="s">
        <v>254</v>
      </c>
      <c r="D283" s="1" t="s">
        <v>39</v>
      </c>
      <c r="E283" s="1" t="s">
        <v>16</v>
      </c>
      <c r="F283" s="2">
        <v>441.77</v>
      </c>
      <c r="G283" s="2" t="s">
        <v>40</v>
      </c>
      <c r="H283" s="2">
        <v>8</v>
      </c>
      <c r="I283" s="2">
        <v>3534.15</v>
      </c>
      <c r="J283" s="2" t="s">
        <v>18</v>
      </c>
      <c r="K283" s="2" t="s">
        <v>19</v>
      </c>
      <c r="L283" s="2" t="s">
        <v>41</v>
      </c>
      <c r="M283" s="2" t="s">
        <v>42</v>
      </c>
      <c r="N283" s="2" t="s">
        <v>1051</v>
      </c>
      <c r="O283" s="2" t="s">
        <v>1059</v>
      </c>
      <c r="P283" t="s">
        <v>1079</v>
      </c>
      <c r="Q283">
        <v>2024</v>
      </c>
    </row>
    <row r="284" spans="1:17" x14ac:dyDescent="0.25">
      <c r="A284" s="1" t="s">
        <v>461</v>
      </c>
      <c r="B284" s="3">
        <v>45947</v>
      </c>
      <c r="C284" s="1" t="s">
        <v>462</v>
      </c>
      <c r="D284" s="1" t="s">
        <v>55</v>
      </c>
      <c r="E284" s="1" t="s">
        <v>25</v>
      </c>
      <c r="F284" s="2">
        <v>313.5</v>
      </c>
      <c r="G284" s="2" t="s">
        <v>90</v>
      </c>
      <c r="H284" s="2">
        <v>8</v>
      </c>
      <c r="I284" s="2">
        <v>2508</v>
      </c>
      <c r="J284" s="2" t="s">
        <v>63</v>
      </c>
      <c r="K284" s="2" t="s">
        <v>34</v>
      </c>
      <c r="L284" s="2" t="s">
        <v>47</v>
      </c>
      <c r="M284" s="2" t="s">
        <v>85</v>
      </c>
      <c r="N284" s="2" t="s">
        <v>1046</v>
      </c>
      <c r="O284" s="2" t="s">
        <v>1058</v>
      </c>
      <c r="P284" t="s">
        <v>1079</v>
      </c>
      <c r="Q284">
        <v>2025</v>
      </c>
    </row>
    <row r="285" spans="1:17" x14ac:dyDescent="0.25">
      <c r="A285" s="1" t="s">
        <v>463</v>
      </c>
      <c r="B285" s="3">
        <v>45923</v>
      </c>
      <c r="C285" s="1" t="s">
        <v>266</v>
      </c>
      <c r="D285" s="1" t="s">
        <v>39</v>
      </c>
      <c r="E285" s="1" t="s">
        <v>45</v>
      </c>
      <c r="F285" s="2">
        <v>112.68</v>
      </c>
      <c r="G285" s="2" t="s">
        <v>40</v>
      </c>
      <c r="H285" s="2">
        <v>4</v>
      </c>
      <c r="I285" s="2">
        <v>450.73</v>
      </c>
      <c r="J285" s="2" t="s">
        <v>18</v>
      </c>
      <c r="K285" s="2" t="s">
        <v>34</v>
      </c>
      <c r="L285" s="2" t="s">
        <v>47</v>
      </c>
      <c r="M285" s="2" t="s">
        <v>85</v>
      </c>
      <c r="N285" s="2" t="s">
        <v>1049</v>
      </c>
      <c r="O285" s="2" t="s">
        <v>1053</v>
      </c>
      <c r="P285" t="s">
        <v>1079</v>
      </c>
      <c r="Q285">
        <v>2025</v>
      </c>
    </row>
    <row r="286" spans="1:17" x14ac:dyDescent="0.25">
      <c r="A286" s="1" t="s">
        <v>464</v>
      </c>
      <c r="B286" s="3">
        <v>45890</v>
      </c>
      <c r="C286" s="1" t="s">
        <v>193</v>
      </c>
      <c r="D286" s="1" t="s">
        <v>15</v>
      </c>
      <c r="E286" s="1" t="s">
        <v>16</v>
      </c>
      <c r="F286" s="2">
        <v>135.36000000000001</v>
      </c>
      <c r="G286" s="2" t="s">
        <v>62</v>
      </c>
      <c r="H286" s="2">
        <v>17</v>
      </c>
      <c r="I286" s="2">
        <v>2301.04</v>
      </c>
      <c r="J286" s="2" t="s">
        <v>33</v>
      </c>
      <c r="K286" s="2" t="s">
        <v>19</v>
      </c>
      <c r="L286" s="2" t="s">
        <v>47</v>
      </c>
      <c r="M286" s="2" t="s">
        <v>153</v>
      </c>
      <c r="N286" s="2" t="s">
        <v>1051</v>
      </c>
      <c r="O286" s="2" t="s">
        <v>1047</v>
      </c>
      <c r="P286" t="s">
        <v>1079</v>
      </c>
      <c r="Q286">
        <v>2025</v>
      </c>
    </row>
    <row r="287" spans="1:17" hidden="1" x14ac:dyDescent="0.25">
      <c r="A287" s="1" t="s">
        <v>465</v>
      </c>
      <c r="B287" s="3">
        <v>45386</v>
      </c>
      <c r="C287" s="1" t="s">
        <v>92</v>
      </c>
      <c r="D287" s="1" t="s">
        <v>31</v>
      </c>
      <c r="E287" s="1" t="s">
        <v>71</v>
      </c>
      <c r="F287" s="2">
        <v>232.47</v>
      </c>
      <c r="G287" s="2" t="s">
        <v>31</v>
      </c>
      <c r="H287" s="2">
        <v>12</v>
      </c>
      <c r="I287" s="2">
        <v>2789.7</v>
      </c>
      <c r="J287" s="2" t="s">
        <v>33</v>
      </c>
      <c r="K287" s="2" t="s">
        <v>19</v>
      </c>
      <c r="L287" s="2" t="s">
        <v>20</v>
      </c>
      <c r="M287" s="2" t="s">
        <v>64</v>
      </c>
      <c r="N287" s="2" t="s">
        <v>1048</v>
      </c>
      <c r="O287" s="2" t="s">
        <v>1047</v>
      </c>
      <c r="P287" t="s">
        <v>1079</v>
      </c>
      <c r="Q287">
        <v>2024</v>
      </c>
    </row>
    <row r="288" spans="1:17" x14ac:dyDescent="0.25">
      <c r="A288" s="1" t="s">
        <v>466</v>
      </c>
      <c r="B288" s="3">
        <v>45893</v>
      </c>
      <c r="C288" s="1" t="s">
        <v>240</v>
      </c>
      <c r="D288" s="1" t="s">
        <v>24</v>
      </c>
      <c r="E288" s="1" t="s">
        <v>25</v>
      </c>
      <c r="F288" s="2">
        <v>298.64999999999998</v>
      </c>
      <c r="G288" s="2" t="s">
        <v>68</v>
      </c>
      <c r="H288" s="2">
        <v>10</v>
      </c>
      <c r="I288" s="2">
        <v>2986.51</v>
      </c>
      <c r="J288" s="2" t="s">
        <v>63</v>
      </c>
      <c r="K288" s="2" t="s">
        <v>34</v>
      </c>
      <c r="L288" s="2" t="s">
        <v>47</v>
      </c>
      <c r="M288" s="2" t="s">
        <v>85</v>
      </c>
      <c r="N288" s="2" t="s">
        <v>1051</v>
      </c>
      <c r="O288" s="2" t="s">
        <v>1055</v>
      </c>
      <c r="P288" t="s">
        <v>1079</v>
      </c>
      <c r="Q288">
        <v>2025</v>
      </c>
    </row>
    <row r="289" spans="1:17" x14ac:dyDescent="0.25">
      <c r="A289" s="1" t="s">
        <v>467</v>
      </c>
      <c r="B289" s="3">
        <v>45667</v>
      </c>
      <c r="C289" s="1" t="s">
        <v>242</v>
      </c>
      <c r="D289" s="1" t="s">
        <v>55</v>
      </c>
      <c r="E289" s="1" t="s">
        <v>45</v>
      </c>
      <c r="F289" s="2">
        <v>105.08</v>
      </c>
      <c r="G289" s="2" t="s">
        <v>56</v>
      </c>
      <c r="H289" s="2">
        <v>14</v>
      </c>
      <c r="I289" s="2">
        <v>1471.17</v>
      </c>
      <c r="J289" s="2" t="s">
        <v>63</v>
      </c>
      <c r="K289" s="2" t="s">
        <v>19</v>
      </c>
      <c r="L289" s="2" t="s">
        <v>47</v>
      </c>
      <c r="M289" s="2" t="s">
        <v>85</v>
      </c>
      <c r="N289" s="2" t="s">
        <v>1050</v>
      </c>
      <c r="O289" s="2" t="s">
        <v>1058</v>
      </c>
      <c r="P289" t="s">
        <v>1079</v>
      </c>
      <c r="Q289">
        <v>2025</v>
      </c>
    </row>
    <row r="290" spans="1:17" x14ac:dyDescent="0.25">
      <c r="A290" s="1" t="s">
        <v>468</v>
      </c>
      <c r="B290" s="3">
        <v>45679</v>
      </c>
      <c r="C290" s="1" t="s">
        <v>469</v>
      </c>
      <c r="D290" s="1" t="s">
        <v>15</v>
      </c>
      <c r="E290" s="1" t="s">
        <v>25</v>
      </c>
      <c r="F290" s="2">
        <v>456.33</v>
      </c>
      <c r="G290" s="2" t="s">
        <v>62</v>
      </c>
      <c r="H290" s="2">
        <v>6</v>
      </c>
      <c r="I290" s="2">
        <v>2737.98</v>
      </c>
      <c r="J290" s="2" t="s">
        <v>18</v>
      </c>
      <c r="K290" s="2" t="s">
        <v>34</v>
      </c>
      <c r="L290" s="2" t="s">
        <v>47</v>
      </c>
      <c r="M290" s="2" t="s">
        <v>48</v>
      </c>
      <c r="N290" s="2" t="s">
        <v>1050</v>
      </c>
      <c r="O290" s="2" t="s">
        <v>1059</v>
      </c>
      <c r="P290" t="s">
        <v>1079</v>
      </c>
      <c r="Q290">
        <v>2025</v>
      </c>
    </row>
    <row r="291" spans="1:17" hidden="1" x14ac:dyDescent="0.25">
      <c r="A291" s="1" t="s">
        <v>470</v>
      </c>
      <c r="B291" s="3">
        <v>45519</v>
      </c>
      <c r="C291" s="1" t="s">
        <v>381</v>
      </c>
      <c r="D291" s="1" t="s">
        <v>24</v>
      </c>
      <c r="E291" s="1" t="s">
        <v>25</v>
      </c>
      <c r="F291" s="2">
        <v>76.86</v>
      </c>
      <c r="G291" s="2" t="s">
        <v>75</v>
      </c>
      <c r="H291" s="2">
        <v>21</v>
      </c>
      <c r="I291" s="2">
        <v>1614.06</v>
      </c>
      <c r="J291" s="2" t="s">
        <v>18</v>
      </c>
      <c r="K291" s="2" t="s">
        <v>19</v>
      </c>
      <c r="L291" s="2" t="s">
        <v>20</v>
      </c>
      <c r="M291" s="2" t="s">
        <v>64</v>
      </c>
      <c r="N291" s="2" t="s">
        <v>1051</v>
      </c>
      <c r="O291" s="2" t="s">
        <v>1047</v>
      </c>
      <c r="P291" t="s">
        <v>1079</v>
      </c>
      <c r="Q291">
        <v>2024</v>
      </c>
    </row>
    <row r="292" spans="1:17" hidden="1" x14ac:dyDescent="0.25">
      <c r="A292" s="1" t="s">
        <v>471</v>
      </c>
      <c r="B292" s="3">
        <v>45569</v>
      </c>
      <c r="C292" s="1" t="s">
        <v>133</v>
      </c>
      <c r="D292" s="1" t="s">
        <v>55</v>
      </c>
      <c r="E292" s="1" t="s">
        <v>67</v>
      </c>
      <c r="F292" s="2">
        <v>222.02</v>
      </c>
      <c r="G292" s="2" t="s">
        <v>56</v>
      </c>
      <c r="H292" s="2">
        <v>15</v>
      </c>
      <c r="I292" s="2">
        <v>3330.27</v>
      </c>
      <c r="J292" s="2" t="s">
        <v>18</v>
      </c>
      <c r="K292" s="2" t="s">
        <v>19</v>
      </c>
      <c r="L292" s="2" t="s">
        <v>41</v>
      </c>
      <c r="M292" s="2" t="s">
        <v>76</v>
      </c>
      <c r="N292" s="2" t="s">
        <v>1046</v>
      </c>
      <c r="O292" s="2" t="s">
        <v>1058</v>
      </c>
      <c r="P292" t="s">
        <v>1079</v>
      </c>
      <c r="Q292">
        <v>2024</v>
      </c>
    </row>
    <row r="293" spans="1:17" x14ac:dyDescent="0.25">
      <c r="A293" s="1" t="s">
        <v>472</v>
      </c>
      <c r="B293" s="3">
        <v>45731</v>
      </c>
      <c r="C293" s="1" t="s">
        <v>30</v>
      </c>
      <c r="D293" s="1" t="s">
        <v>39</v>
      </c>
      <c r="E293" s="1" t="s">
        <v>45</v>
      </c>
      <c r="F293" s="2">
        <v>419.33</v>
      </c>
      <c r="G293" s="2" t="s">
        <v>72</v>
      </c>
      <c r="H293" s="2">
        <v>12</v>
      </c>
      <c r="I293" s="2">
        <v>5032</v>
      </c>
      <c r="J293" s="2" t="s">
        <v>18</v>
      </c>
      <c r="K293" s="2" t="s">
        <v>19</v>
      </c>
      <c r="L293" s="2" t="s">
        <v>47</v>
      </c>
      <c r="M293" s="2" t="s">
        <v>48</v>
      </c>
      <c r="N293" s="2" t="s">
        <v>1054</v>
      </c>
      <c r="O293" s="2" t="s">
        <v>1063</v>
      </c>
      <c r="P293" t="s">
        <v>1078</v>
      </c>
      <c r="Q293">
        <v>2025</v>
      </c>
    </row>
    <row r="294" spans="1:17" hidden="1" x14ac:dyDescent="0.25">
      <c r="A294" s="1" t="s">
        <v>473</v>
      </c>
      <c r="B294" s="3">
        <v>45605</v>
      </c>
      <c r="C294" s="1" t="s">
        <v>50</v>
      </c>
      <c r="D294" s="1" t="s">
        <v>24</v>
      </c>
      <c r="E294" s="1" t="s">
        <v>71</v>
      </c>
      <c r="F294" s="2">
        <v>95.1</v>
      </c>
      <c r="G294" s="2" t="s">
        <v>75</v>
      </c>
      <c r="H294" s="2">
        <v>9</v>
      </c>
      <c r="I294" s="2">
        <v>855.86</v>
      </c>
      <c r="J294" s="2" t="s">
        <v>63</v>
      </c>
      <c r="K294" s="2" t="s">
        <v>34</v>
      </c>
      <c r="L294" s="2" t="s">
        <v>41</v>
      </c>
      <c r="M294" s="2" t="s">
        <v>76</v>
      </c>
      <c r="N294" s="2" t="s">
        <v>1064</v>
      </c>
      <c r="O294" s="2" t="s">
        <v>1063</v>
      </c>
      <c r="P294" t="s">
        <v>1079</v>
      </c>
      <c r="Q294">
        <v>2024</v>
      </c>
    </row>
    <row r="295" spans="1:17" hidden="1" x14ac:dyDescent="0.25">
      <c r="A295" s="1" t="s">
        <v>474</v>
      </c>
      <c r="B295" s="3">
        <v>45625</v>
      </c>
      <c r="C295" s="1" t="s">
        <v>87</v>
      </c>
      <c r="D295" s="1" t="s">
        <v>39</v>
      </c>
      <c r="E295" s="1" t="s">
        <v>25</v>
      </c>
      <c r="F295" s="2">
        <v>135.19999999999999</v>
      </c>
      <c r="G295" s="2" t="s">
        <v>136</v>
      </c>
      <c r="H295" s="2">
        <v>13</v>
      </c>
      <c r="I295" s="2">
        <v>1757.6</v>
      </c>
      <c r="J295" s="2" t="s">
        <v>18</v>
      </c>
      <c r="K295" s="2" t="s">
        <v>19</v>
      </c>
      <c r="L295" s="2" t="s">
        <v>41</v>
      </c>
      <c r="M295" s="2" t="s">
        <v>42</v>
      </c>
      <c r="N295" s="2" t="s">
        <v>1064</v>
      </c>
      <c r="O295" s="2" t="s">
        <v>1058</v>
      </c>
      <c r="P295" t="s">
        <v>1079</v>
      </c>
      <c r="Q295">
        <v>2024</v>
      </c>
    </row>
    <row r="296" spans="1:17" x14ac:dyDescent="0.25">
      <c r="A296" s="1" t="s">
        <v>475</v>
      </c>
      <c r="B296" s="3">
        <v>45738</v>
      </c>
      <c r="C296" s="1" t="s">
        <v>294</v>
      </c>
      <c r="D296" s="1" t="s">
        <v>39</v>
      </c>
      <c r="E296" s="1" t="s">
        <v>67</v>
      </c>
      <c r="F296" s="2">
        <v>234.29</v>
      </c>
      <c r="G296" s="2" t="s">
        <v>40</v>
      </c>
      <c r="H296" s="2">
        <v>5</v>
      </c>
      <c r="I296" s="2">
        <v>1171.47</v>
      </c>
      <c r="J296" s="2" t="s">
        <v>18</v>
      </c>
      <c r="K296" s="2" t="s">
        <v>34</v>
      </c>
      <c r="L296" s="2" t="s">
        <v>41</v>
      </c>
      <c r="M296" s="2" t="s">
        <v>76</v>
      </c>
      <c r="N296" s="2" t="s">
        <v>1054</v>
      </c>
      <c r="O296" s="2" t="s">
        <v>1063</v>
      </c>
      <c r="P296" t="s">
        <v>1079</v>
      </c>
      <c r="Q296">
        <v>2025</v>
      </c>
    </row>
    <row r="297" spans="1:17" hidden="1" x14ac:dyDescent="0.25">
      <c r="A297" s="1" t="s">
        <v>476</v>
      </c>
      <c r="B297" s="3">
        <v>45347</v>
      </c>
      <c r="C297" s="1" t="s">
        <v>95</v>
      </c>
      <c r="D297" s="1" t="s">
        <v>39</v>
      </c>
      <c r="E297" s="1" t="s">
        <v>67</v>
      </c>
      <c r="F297" s="2">
        <v>66</v>
      </c>
      <c r="G297" s="2" t="s">
        <v>72</v>
      </c>
      <c r="H297" s="2">
        <v>13</v>
      </c>
      <c r="I297" s="2">
        <v>858</v>
      </c>
      <c r="J297" s="2" t="s">
        <v>18</v>
      </c>
      <c r="K297" s="2" t="s">
        <v>19</v>
      </c>
      <c r="L297" s="2" t="s">
        <v>35</v>
      </c>
      <c r="M297" s="2" t="s">
        <v>52</v>
      </c>
      <c r="N297" s="2" t="s">
        <v>1060</v>
      </c>
      <c r="O297" s="2" t="s">
        <v>1055</v>
      </c>
      <c r="P297" t="s">
        <v>1079</v>
      </c>
      <c r="Q297">
        <v>2024</v>
      </c>
    </row>
    <row r="298" spans="1:17" hidden="1" x14ac:dyDescent="0.25">
      <c r="A298" s="1" t="s">
        <v>477</v>
      </c>
      <c r="B298" s="3">
        <v>45586</v>
      </c>
      <c r="C298" s="1" t="s">
        <v>121</v>
      </c>
      <c r="D298" s="1" t="s">
        <v>39</v>
      </c>
      <c r="E298" s="1" t="s">
        <v>67</v>
      </c>
      <c r="F298" s="2">
        <v>180.26</v>
      </c>
      <c r="G298" s="2" t="s">
        <v>93</v>
      </c>
      <c r="H298" s="2">
        <v>9</v>
      </c>
      <c r="I298" s="2">
        <v>1622.35</v>
      </c>
      <c r="J298" s="2" t="s">
        <v>18</v>
      </c>
      <c r="K298" s="2" t="s">
        <v>34</v>
      </c>
      <c r="L298" s="2" t="s">
        <v>27</v>
      </c>
      <c r="M298" s="2" t="s">
        <v>28</v>
      </c>
      <c r="N298" s="2" t="s">
        <v>1046</v>
      </c>
      <c r="O298" s="2" t="s">
        <v>1056</v>
      </c>
      <c r="P298" t="s">
        <v>1079</v>
      </c>
      <c r="Q298">
        <v>2024</v>
      </c>
    </row>
    <row r="299" spans="1:17" hidden="1" x14ac:dyDescent="0.25">
      <c r="A299" s="1" t="s">
        <v>478</v>
      </c>
      <c r="B299" s="3">
        <v>45372</v>
      </c>
      <c r="C299" s="1" t="s">
        <v>439</v>
      </c>
      <c r="D299" s="1" t="s">
        <v>31</v>
      </c>
      <c r="E299" s="1" t="s">
        <v>45</v>
      </c>
      <c r="F299" s="2">
        <v>183.65</v>
      </c>
      <c r="G299" s="2" t="s">
        <v>98</v>
      </c>
      <c r="H299" s="2">
        <v>8</v>
      </c>
      <c r="I299" s="2">
        <v>1469.23</v>
      </c>
      <c r="J299" s="2" t="s">
        <v>63</v>
      </c>
      <c r="K299" s="2" t="s">
        <v>34</v>
      </c>
      <c r="L299" s="2" t="s">
        <v>20</v>
      </c>
      <c r="M299" s="2" t="s">
        <v>21</v>
      </c>
      <c r="N299" s="2" t="s">
        <v>1054</v>
      </c>
      <c r="O299" s="2" t="s">
        <v>1047</v>
      </c>
      <c r="P299" t="s">
        <v>1079</v>
      </c>
      <c r="Q299">
        <v>2024</v>
      </c>
    </row>
    <row r="300" spans="1:17" x14ac:dyDescent="0.25">
      <c r="A300" s="1" t="s">
        <v>479</v>
      </c>
      <c r="B300" s="3">
        <v>45868</v>
      </c>
      <c r="C300" s="1" t="s">
        <v>480</v>
      </c>
      <c r="D300" s="1" t="s">
        <v>55</v>
      </c>
      <c r="E300" s="1" t="s">
        <v>45</v>
      </c>
      <c r="F300" s="2">
        <v>183.14</v>
      </c>
      <c r="G300" s="2" t="s">
        <v>79</v>
      </c>
      <c r="H300" s="2">
        <v>9</v>
      </c>
      <c r="I300" s="2">
        <v>1648.28</v>
      </c>
      <c r="J300" s="2" t="s">
        <v>63</v>
      </c>
      <c r="K300" s="2" t="s">
        <v>34</v>
      </c>
      <c r="L300" s="2" t="s">
        <v>47</v>
      </c>
      <c r="M300" s="2" t="s">
        <v>153</v>
      </c>
      <c r="N300" s="2" t="s">
        <v>1052</v>
      </c>
      <c r="O300" s="2" t="s">
        <v>1059</v>
      </c>
      <c r="P300" t="s">
        <v>1079</v>
      </c>
      <c r="Q300">
        <v>2025</v>
      </c>
    </row>
    <row r="301" spans="1:17" hidden="1" x14ac:dyDescent="0.25">
      <c r="A301" s="1" t="s">
        <v>481</v>
      </c>
      <c r="B301" s="3">
        <v>45507</v>
      </c>
      <c r="C301" s="1" t="s">
        <v>292</v>
      </c>
      <c r="D301" s="1" t="s">
        <v>15</v>
      </c>
      <c r="E301" s="1" t="s">
        <v>67</v>
      </c>
      <c r="F301" s="2">
        <v>312.91000000000003</v>
      </c>
      <c r="G301" s="2" t="s">
        <v>17</v>
      </c>
      <c r="H301" s="2">
        <v>9</v>
      </c>
      <c r="I301" s="2">
        <v>2816.19</v>
      </c>
      <c r="J301" s="2" t="s">
        <v>18</v>
      </c>
      <c r="K301" s="2" t="s">
        <v>34</v>
      </c>
      <c r="L301" s="2" t="s">
        <v>47</v>
      </c>
      <c r="M301" s="2" t="s">
        <v>153</v>
      </c>
      <c r="N301" s="2" t="s">
        <v>1051</v>
      </c>
      <c r="O301" s="2" t="s">
        <v>1063</v>
      </c>
      <c r="P301" t="s">
        <v>1079</v>
      </c>
      <c r="Q301">
        <v>2024</v>
      </c>
    </row>
    <row r="302" spans="1:17" hidden="1" x14ac:dyDescent="0.25">
      <c r="A302" s="1" t="s">
        <v>482</v>
      </c>
      <c r="B302" s="3">
        <v>45323</v>
      </c>
      <c r="C302" s="1" t="s">
        <v>156</v>
      </c>
      <c r="D302" s="1" t="s">
        <v>39</v>
      </c>
      <c r="E302" s="1" t="s">
        <v>45</v>
      </c>
      <c r="F302" s="2">
        <v>130.87</v>
      </c>
      <c r="G302" s="2" t="s">
        <v>136</v>
      </c>
      <c r="H302" s="2">
        <v>12</v>
      </c>
      <c r="I302" s="2">
        <v>1570.45</v>
      </c>
      <c r="J302" s="2" t="s">
        <v>33</v>
      </c>
      <c r="K302" s="2" t="s">
        <v>19</v>
      </c>
      <c r="L302" s="2" t="s">
        <v>41</v>
      </c>
      <c r="M302" s="2" t="s">
        <v>42</v>
      </c>
      <c r="N302" s="2" t="s">
        <v>1060</v>
      </c>
      <c r="O302" s="2" t="s">
        <v>1047</v>
      </c>
      <c r="P302" t="s">
        <v>1079</v>
      </c>
      <c r="Q302">
        <v>2024</v>
      </c>
    </row>
    <row r="303" spans="1:17" hidden="1" x14ac:dyDescent="0.25">
      <c r="A303" s="1" t="s">
        <v>483</v>
      </c>
      <c r="B303" s="3">
        <v>45465</v>
      </c>
      <c r="C303" s="1" t="s">
        <v>173</v>
      </c>
      <c r="D303" s="1" t="s">
        <v>39</v>
      </c>
      <c r="E303" s="1" t="s">
        <v>45</v>
      </c>
      <c r="F303" s="2">
        <v>107.33</v>
      </c>
      <c r="G303" s="2" t="s">
        <v>72</v>
      </c>
      <c r="H303" s="2">
        <v>12</v>
      </c>
      <c r="I303" s="2">
        <v>1288</v>
      </c>
      <c r="J303" s="2" t="s">
        <v>18</v>
      </c>
      <c r="K303" s="2" t="s">
        <v>19</v>
      </c>
      <c r="L303" s="2" t="s">
        <v>47</v>
      </c>
      <c r="M303" s="2" t="s">
        <v>48</v>
      </c>
      <c r="N303" s="2" t="s">
        <v>1062</v>
      </c>
      <c r="O303" s="2" t="s">
        <v>1063</v>
      </c>
      <c r="P303" t="s">
        <v>1079</v>
      </c>
      <c r="Q303">
        <v>2024</v>
      </c>
    </row>
    <row r="304" spans="1:17" x14ac:dyDescent="0.25">
      <c r="A304" s="1" t="s">
        <v>484</v>
      </c>
      <c r="B304" s="3">
        <v>45960</v>
      </c>
      <c r="C304" s="1" t="s">
        <v>78</v>
      </c>
      <c r="D304" s="1" t="s">
        <v>39</v>
      </c>
      <c r="E304" s="1" t="s">
        <v>67</v>
      </c>
      <c r="F304" s="2">
        <v>76.349999999999994</v>
      </c>
      <c r="G304" s="2" t="s">
        <v>136</v>
      </c>
      <c r="H304" s="2">
        <v>18</v>
      </c>
      <c r="I304" s="2">
        <v>1374.29</v>
      </c>
      <c r="J304" s="2" t="s">
        <v>33</v>
      </c>
      <c r="K304" s="2" t="s">
        <v>19</v>
      </c>
      <c r="L304" s="2" t="s">
        <v>41</v>
      </c>
      <c r="M304" s="2" t="s">
        <v>42</v>
      </c>
      <c r="N304" s="2" t="s">
        <v>1046</v>
      </c>
      <c r="O304" s="2" t="s">
        <v>1047</v>
      </c>
      <c r="P304" t="s">
        <v>1079</v>
      </c>
      <c r="Q304">
        <v>2025</v>
      </c>
    </row>
    <row r="305" spans="1:17" hidden="1" x14ac:dyDescent="0.25">
      <c r="A305" s="1" t="s">
        <v>485</v>
      </c>
      <c r="B305" s="3">
        <v>45338</v>
      </c>
      <c r="C305" s="1" t="s">
        <v>95</v>
      </c>
      <c r="D305" s="1" t="s">
        <v>15</v>
      </c>
      <c r="E305" s="1" t="s">
        <v>45</v>
      </c>
      <c r="F305" s="2">
        <v>124.12</v>
      </c>
      <c r="G305" s="2" t="s">
        <v>51</v>
      </c>
      <c r="H305" s="2">
        <v>17</v>
      </c>
      <c r="I305" s="2">
        <v>2110</v>
      </c>
      <c r="J305" s="2" t="s">
        <v>18</v>
      </c>
      <c r="K305" s="2" t="s">
        <v>19</v>
      </c>
      <c r="L305" s="2" t="s">
        <v>41</v>
      </c>
      <c r="M305" s="2" t="s">
        <v>42</v>
      </c>
      <c r="N305" s="2" t="s">
        <v>1060</v>
      </c>
      <c r="O305" s="2" t="s">
        <v>1058</v>
      </c>
      <c r="P305" t="s">
        <v>1079</v>
      </c>
      <c r="Q305">
        <v>2024</v>
      </c>
    </row>
    <row r="306" spans="1:17" hidden="1" x14ac:dyDescent="0.25">
      <c r="A306" s="1" t="s">
        <v>486</v>
      </c>
      <c r="B306" s="3">
        <v>45304</v>
      </c>
      <c r="C306" s="1" t="s">
        <v>487</v>
      </c>
      <c r="D306" s="1" t="s">
        <v>24</v>
      </c>
      <c r="E306" s="1" t="s">
        <v>16</v>
      </c>
      <c r="F306" s="2">
        <v>82.22</v>
      </c>
      <c r="G306" s="2" t="s">
        <v>170</v>
      </c>
      <c r="H306" s="2">
        <v>18</v>
      </c>
      <c r="I306" s="2">
        <v>1480</v>
      </c>
      <c r="J306" s="2" t="s">
        <v>18</v>
      </c>
      <c r="K306" s="2" t="s">
        <v>19</v>
      </c>
      <c r="L306" s="2" t="s">
        <v>20</v>
      </c>
      <c r="M306" s="2" t="s">
        <v>21</v>
      </c>
      <c r="N306" s="2" t="s">
        <v>1050</v>
      </c>
      <c r="O306" s="2" t="s">
        <v>1063</v>
      </c>
      <c r="P306" t="s">
        <v>1079</v>
      </c>
      <c r="Q306">
        <v>2024</v>
      </c>
    </row>
    <row r="307" spans="1:17" x14ac:dyDescent="0.25">
      <c r="A307" s="1" t="s">
        <v>488</v>
      </c>
      <c r="B307" s="3">
        <v>45689</v>
      </c>
      <c r="C307" s="1" t="s">
        <v>204</v>
      </c>
      <c r="D307" s="1" t="s">
        <v>55</v>
      </c>
      <c r="E307" s="1" t="s">
        <v>16</v>
      </c>
      <c r="F307" s="2">
        <v>344.83</v>
      </c>
      <c r="G307" s="2" t="s">
        <v>56</v>
      </c>
      <c r="H307" s="2">
        <v>5</v>
      </c>
      <c r="I307" s="2">
        <v>1724.13</v>
      </c>
      <c r="J307" s="2" t="s">
        <v>63</v>
      </c>
      <c r="K307" s="2" t="s">
        <v>34</v>
      </c>
      <c r="L307" s="2" t="s">
        <v>35</v>
      </c>
      <c r="M307" s="2" t="s">
        <v>126</v>
      </c>
      <c r="N307" s="2" t="s">
        <v>1060</v>
      </c>
      <c r="O307" s="2" t="s">
        <v>1063</v>
      </c>
      <c r="P307" t="s">
        <v>1079</v>
      </c>
      <c r="Q307">
        <v>2025</v>
      </c>
    </row>
    <row r="308" spans="1:17" hidden="1" x14ac:dyDescent="0.25">
      <c r="A308" s="1" t="s">
        <v>489</v>
      </c>
      <c r="B308" s="3">
        <v>45480</v>
      </c>
      <c r="C308" s="1" t="s">
        <v>235</v>
      </c>
      <c r="D308" s="1" t="s">
        <v>31</v>
      </c>
      <c r="E308" s="1" t="s">
        <v>67</v>
      </c>
      <c r="F308" s="2">
        <v>1019.37</v>
      </c>
      <c r="G308" s="2" t="s">
        <v>31</v>
      </c>
      <c r="H308" s="2">
        <v>5</v>
      </c>
      <c r="I308" s="2">
        <v>5096.84</v>
      </c>
      <c r="J308" s="2" t="s">
        <v>18</v>
      </c>
      <c r="K308" s="2" t="s">
        <v>19</v>
      </c>
      <c r="L308" s="2" t="s">
        <v>20</v>
      </c>
      <c r="M308" s="2" t="s">
        <v>21</v>
      </c>
      <c r="N308" s="2" t="s">
        <v>1052</v>
      </c>
      <c r="O308" s="2" t="s">
        <v>1055</v>
      </c>
      <c r="P308" t="s">
        <v>1078</v>
      </c>
      <c r="Q308">
        <v>2024</v>
      </c>
    </row>
    <row r="309" spans="1:17" hidden="1" x14ac:dyDescent="0.25">
      <c r="A309" s="1" t="s">
        <v>490</v>
      </c>
      <c r="B309" s="3">
        <v>45408</v>
      </c>
      <c r="C309" s="1" t="s">
        <v>128</v>
      </c>
      <c r="D309" s="1" t="s">
        <v>39</v>
      </c>
      <c r="E309" s="1" t="s">
        <v>71</v>
      </c>
      <c r="F309" s="2">
        <v>234.24</v>
      </c>
      <c r="G309" s="2" t="s">
        <v>72</v>
      </c>
      <c r="H309" s="2">
        <v>9</v>
      </c>
      <c r="I309" s="2">
        <v>2108.14</v>
      </c>
      <c r="J309" s="2" t="s">
        <v>33</v>
      </c>
      <c r="K309" s="2" t="s">
        <v>34</v>
      </c>
      <c r="L309" s="2" t="s">
        <v>47</v>
      </c>
      <c r="M309" s="2" t="s">
        <v>153</v>
      </c>
      <c r="N309" s="2" t="s">
        <v>1048</v>
      </c>
      <c r="O309" s="2" t="s">
        <v>1058</v>
      </c>
      <c r="P309" t="s">
        <v>1079</v>
      </c>
      <c r="Q309">
        <v>2024</v>
      </c>
    </row>
    <row r="310" spans="1:17" x14ac:dyDescent="0.25">
      <c r="A310" s="1" t="s">
        <v>491</v>
      </c>
      <c r="B310" s="3">
        <v>45680</v>
      </c>
      <c r="C310" s="1" t="s">
        <v>407</v>
      </c>
      <c r="D310" s="1" t="s">
        <v>39</v>
      </c>
      <c r="E310" s="1" t="s">
        <v>67</v>
      </c>
      <c r="F310" s="2">
        <v>128.33000000000001</v>
      </c>
      <c r="G310" s="2" t="s">
        <v>40</v>
      </c>
      <c r="H310" s="2">
        <v>12</v>
      </c>
      <c r="I310" s="2">
        <v>1540</v>
      </c>
      <c r="J310" s="2" t="s">
        <v>18</v>
      </c>
      <c r="K310" s="2" t="s">
        <v>19</v>
      </c>
      <c r="L310" s="2" t="s">
        <v>47</v>
      </c>
      <c r="M310" s="2" t="s">
        <v>85</v>
      </c>
      <c r="N310" s="2" t="s">
        <v>1050</v>
      </c>
      <c r="O310" s="2" t="s">
        <v>1047</v>
      </c>
      <c r="P310" t="s">
        <v>1079</v>
      </c>
      <c r="Q310">
        <v>2025</v>
      </c>
    </row>
    <row r="311" spans="1:17" hidden="1" x14ac:dyDescent="0.25">
      <c r="A311" s="1" t="s">
        <v>492</v>
      </c>
      <c r="B311" s="3">
        <v>45557</v>
      </c>
      <c r="C311" s="1" t="s">
        <v>135</v>
      </c>
      <c r="D311" s="1" t="s">
        <v>31</v>
      </c>
      <c r="E311" s="1" t="s">
        <v>16</v>
      </c>
      <c r="F311" s="2">
        <v>310.94</v>
      </c>
      <c r="G311" s="2" t="s">
        <v>32</v>
      </c>
      <c r="H311" s="2">
        <v>6</v>
      </c>
      <c r="I311" s="2">
        <v>1865.62</v>
      </c>
      <c r="J311" s="2" t="s">
        <v>33</v>
      </c>
      <c r="K311" s="2" t="s">
        <v>34</v>
      </c>
      <c r="L311" s="2" t="s">
        <v>27</v>
      </c>
      <c r="M311" s="2" t="s">
        <v>28</v>
      </c>
      <c r="N311" s="2" t="s">
        <v>1049</v>
      </c>
      <c r="O311" s="2" t="s">
        <v>1055</v>
      </c>
      <c r="P311" t="s">
        <v>1079</v>
      </c>
      <c r="Q311">
        <v>2024</v>
      </c>
    </row>
    <row r="312" spans="1:17" hidden="1" x14ac:dyDescent="0.25">
      <c r="A312" s="1" t="s">
        <v>493</v>
      </c>
      <c r="B312" s="3">
        <v>45408</v>
      </c>
      <c r="C312" s="1" t="s">
        <v>121</v>
      </c>
      <c r="D312" s="1" t="s">
        <v>24</v>
      </c>
      <c r="E312" s="1" t="s">
        <v>67</v>
      </c>
      <c r="F312" s="2">
        <v>45.41</v>
      </c>
      <c r="G312" s="2" t="s">
        <v>68</v>
      </c>
      <c r="H312" s="2">
        <v>15</v>
      </c>
      <c r="I312" s="2">
        <v>681.17</v>
      </c>
      <c r="J312" s="2" t="s">
        <v>18</v>
      </c>
      <c r="K312" s="2" t="s">
        <v>19</v>
      </c>
      <c r="L312" s="2" t="s">
        <v>47</v>
      </c>
      <c r="M312" s="2" t="s">
        <v>153</v>
      </c>
      <c r="N312" s="2" t="s">
        <v>1048</v>
      </c>
      <c r="O312" s="2" t="s">
        <v>1058</v>
      </c>
      <c r="P312" t="s">
        <v>1079</v>
      </c>
      <c r="Q312">
        <v>2024</v>
      </c>
    </row>
    <row r="313" spans="1:17" x14ac:dyDescent="0.25">
      <c r="A313" s="1" t="s">
        <v>494</v>
      </c>
      <c r="B313" s="3">
        <v>45902</v>
      </c>
      <c r="C313" s="1" t="s">
        <v>446</v>
      </c>
      <c r="D313" s="1" t="s">
        <v>55</v>
      </c>
      <c r="E313" s="1" t="s">
        <v>45</v>
      </c>
      <c r="F313" s="2">
        <v>68.42</v>
      </c>
      <c r="G313" s="2" t="s">
        <v>79</v>
      </c>
      <c r="H313" s="2">
        <v>10</v>
      </c>
      <c r="I313" s="2">
        <v>684.19</v>
      </c>
      <c r="J313" s="2" t="s">
        <v>63</v>
      </c>
      <c r="K313" s="2" t="s">
        <v>34</v>
      </c>
      <c r="L313" s="2" t="s">
        <v>35</v>
      </c>
      <c r="M313" s="2" t="s">
        <v>126</v>
      </c>
      <c r="N313" s="2" t="s">
        <v>1049</v>
      </c>
      <c r="O313" s="2" t="s">
        <v>1053</v>
      </c>
      <c r="P313" t="s">
        <v>1079</v>
      </c>
      <c r="Q313">
        <v>2025</v>
      </c>
    </row>
    <row r="314" spans="1:17" x14ac:dyDescent="0.25">
      <c r="A314" s="1" t="s">
        <v>495</v>
      </c>
      <c r="B314" s="3">
        <v>45942</v>
      </c>
      <c r="C314" s="1" t="s">
        <v>453</v>
      </c>
      <c r="D314" s="1" t="s">
        <v>39</v>
      </c>
      <c r="E314" s="1" t="s">
        <v>71</v>
      </c>
      <c r="F314" s="2">
        <v>419.5</v>
      </c>
      <c r="G314" s="2" t="s">
        <v>93</v>
      </c>
      <c r="H314" s="2">
        <v>8</v>
      </c>
      <c r="I314" s="2">
        <v>3356</v>
      </c>
      <c r="J314" s="2" t="s">
        <v>18</v>
      </c>
      <c r="K314" s="2" t="s">
        <v>19</v>
      </c>
      <c r="L314" s="2" t="s">
        <v>35</v>
      </c>
      <c r="M314" s="2" t="s">
        <v>126</v>
      </c>
      <c r="N314" s="2" t="s">
        <v>1046</v>
      </c>
      <c r="O314" s="2" t="s">
        <v>1055</v>
      </c>
      <c r="P314" t="s">
        <v>1079</v>
      </c>
      <c r="Q314">
        <v>2025</v>
      </c>
    </row>
    <row r="315" spans="1:17" x14ac:dyDescent="0.25">
      <c r="A315" s="1" t="s">
        <v>496</v>
      </c>
      <c r="B315" s="3">
        <v>45789</v>
      </c>
      <c r="C315" s="1" t="s">
        <v>81</v>
      </c>
      <c r="D315" s="1" t="s">
        <v>15</v>
      </c>
      <c r="E315" s="1" t="s">
        <v>67</v>
      </c>
      <c r="F315" s="2">
        <v>104.73</v>
      </c>
      <c r="G315" s="2" t="s">
        <v>17</v>
      </c>
      <c r="H315" s="2">
        <v>11</v>
      </c>
      <c r="I315" s="2">
        <v>1152</v>
      </c>
      <c r="J315" s="2" t="s">
        <v>18</v>
      </c>
      <c r="K315" s="2" t="s">
        <v>19</v>
      </c>
      <c r="L315" s="2" t="s">
        <v>20</v>
      </c>
      <c r="M315" s="2" t="s">
        <v>64</v>
      </c>
      <c r="N315" s="2" t="s">
        <v>1057</v>
      </c>
      <c r="O315" s="2" t="s">
        <v>1056</v>
      </c>
      <c r="P315" t="s">
        <v>1079</v>
      </c>
      <c r="Q315">
        <v>2025</v>
      </c>
    </row>
    <row r="316" spans="1:17" hidden="1" x14ac:dyDescent="0.25">
      <c r="A316" s="1" t="s">
        <v>497</v>
      </c>
      <c r="B316" s="3">
        <v>45387</v>
      </c>
      <c r="C316" s="1" t="s">
        <v>92</v>
      </c>
      <c r="D316" s="1" t="s">
        <v>39</v>
      </c>
      <c r="E316" s="1" t="s">
        <v>45</v>
      </c>
      <c r="F316" s="2">
        <v>205.78</v>
      </c>
      <c r="G316" s="2" t="s">
        <v>40</v>
      </c>
      <c r="H316" s="2">
        <v>7</v>
      </c>
      <c r="I316" s="2">
        <v>1440.48</v>
      </c>
      <c r="J316" s="2" t="s">
        <v>18</v>
      </c>
      <c r="K316" s="2" t="s">
        <v>34</v>
      </c>
      <c r="L316" s="2" t="s">
        <v>35</v>
      </c>
      <c r="M316" s="2" t="s">
        <v>36</v>
      </c>
      <c r="N316" s="2" t="s">
        <v>1048</v>
      </c>
      <c r="O316" s="2" t="s">
        <v>1058</v>
      </c>
      <c r="P316" t="s">
        <v>1079</v>
      </c>
      <c r="Q316">
        <v>2024</v>
      </c>
    </row>
    <row r="317" spans="1:17" hidden="1" x14ac:dyDescent="0.25">
      <c r="A317" s="1" t="s">
        <v>498</v>
      </c>
      <c r="B317" s="3">
        <v>45613</v>
      </c>
      <c r="C317" s="1" t="s">
        <v>150</v>
      </c>
      <c r="D317" s="1" t="s">
        <v>15</v>
      </c>
      <c r="E317" s="1" t="s">
        <v>45</v>
      </c>
      <c r="F317" s="2">
        <v>80.19</v>
      </c>
      <c r="G317" s="2" t="s">
        <v>17</v>
      </c>
      <c r="H317" s="2">
        <v>12</v>
      </c>
      <c r="I317" s="2">
        <v>962.32</v>
      </c>
      <c r="J317" s="2" t="s">
        <v>33</v>
      </c>
      <c r="K317" s="2" t="s">
        <v>19</v>
      </c>
      <c r="L317" s="2" t="s">
        <v>47</v>
      </c>
      <c r="M317" s="2" t="s">
        <v>85</v>
      </c>
      <c r="N317" s="2" t="s">
        <v>1064</v>
      </c>
      <c r="O317" s="2" t="s">
        <v>1055</v>
      </c>
      <c r="P317" t="s">
        <v>1079</v>
      </c>
      <c r="Q317">
        <v>2024</v>
      </c>
    </row>
    <row r="318" spans="1:17" hidden="1" x14ac:dyDescent="0.25">
      <c r="A318" s="1" t="s">
        <v>499</v>
      </c>
      <c r="B318" s="3">
        <v>45653</v>
      </c>
      <c r="C318" s="1" t="s">
        <v>50</v>
      </c>
      <c r="D318" s="1" t="s">
        <v>39</v>
      </c>
      <c r="E318" s="1" t="s">
        <v>45</v>
      </c>
      <c r="F318" s="2">
        <v>142.63999999999999</v>
      </c>
      <c r="G318" s="2" t="s">
        <v>72</v>
      </c>
      <c r="H318" s="2">
        <v>5</v>
      </c>
      <c r="I318" s="2">
        <v>713.19999999999993</v>
      </c>
      <c r="J318" s="2" t="s">
        <v>63</v>
      </c>
      <c r="K318" s="2" t="s">
        <v>34</v>
      </c>
      <c r="L318" s="2" t="s">
        <v>47</v>
      </c>
      <c r="M318" s="2" t="s">
        <v>48</v>
      </c>
      <c r="N318" s="2" t="s">
        <v>1061</v>
      </c>
      <c r="O318" s="2" t="s">
        <v>1058</v>
      </c>
      <c r="P318" t="s">
        <v>1079</v>
      </c>
      <c r="Q318">
        <v>2024</v>
      </c>
    </row>
    <row r="319" spans="1:17" x14ac:dyDescent="0.25">
      <c r="A319" s="1" t="s">
        <v>500</v>
      </c>
      <c r="B319" s="3">
        <v>45782</v>
      </c>
      <c r="C319" s="1" t="s">
        <v>54</v>
      </c>
      <c r="D319" s="1" t="s">
        <v>24</v>
      </c>
      <c r="E319" s="1" t="s">
        <v>25</v>
      </c>
      <c r="F319" s="2">
        <v>122.84</v>
      </c>
      <c r="G319" s="2" t="s">
        <v>68</v>
      </c>
      <c r="H319" s="2">
        <v>6</v>
      </c>
      <c r="I319" s="2">
        <v>737.02</v>
      </c>
      <c r="J319" s="2" t="s">
        <v>18</v>
      </c>
      <c r="K319" s="2" t="s">
        <v>34</v>
      </c>
      <c r="L319" s="2" t="s">
        <v>35</v>
      </c>
      <c r="M319" s="2" t="s">
        <v>52</v>
      </c>
      <c r="N319" s="2" t="s">
        <v>1057</v>
      </c>
      <c r="O319" s="2" t="s">
        <v>1056</v>
      </c>
      <c r="P319" t="s">
        <v>1079</v>
      </c>
      <c r="Q319">
        <v>2025</v>
      </c>
    </row>
    <row r="320" spans="1:17" x14ac:dyDescent="0.25">
      <c r="A320" s="1" t="s">
        <v>501</v>
      </c>
      <c r="B320" s="3">
        <v>45907</v>
      </c>
      <c r="C320" s="1" t="s">
        <v>392</v>
      </c>
      <c r="D320" s="1" t="s">
        <v>31</v>
      </c>
      <c r="E320" s="1" t="s">
        <v>71</v>
      </c>
      <c r="F320" s="2">
        <v>121.43</v>
      </c>
      <c r="G320" s="2" t="s">
        <v>31</v>
      </c>
      <c r="H320" s="2">
        <v>20</v>
      </c>
      <c r="I320" s="2">
        <v>2428.67</v>
      </c>
      <c r="J320" s="2" t="s">
        <v>63</v>
      </c>
      <c r="K320" s="2" t="s">
        <v>19</v>
      </c>
      <c r="L320" s="2" t="s">
        <v>20</v>
      </c>
      <c r="M320" s="2" t="s">
        <v>64</v>
      </c>
      <c r="N320" s="2" t="s">
        <v>1049</v>
      </c>
      <c r="O320" s="2" t="s">
        <v>1055</v>
      </c>
      <c r="P320" t="s">
        <v>1079</v>
      </c>
      <c r="Q320">
        <v>2025</v>
      </c>
    </row>
    <row r="321" spans="1:17" x14ac:dyDescent="0.25">
      <c r="A321" s="1" t="s">
        <v>502</v>
      </c>
      <c r="B321" s="3">
        <v>45778</v>
      </c>
      <c r="C321" s="1" t="s">
        <v>201</v>
      </c>
      <c r="D321" s="1" t="s">
        <v>15</v>
      </c>
      <c r="E321" s="1" t="s">
        <v>25</v>
      </c>
      <c r="F321" s="2">
        <v>119.92</v>
      </c>
      <c r="G321" s="2" t="s">
        <v>17</v>
      </c>
      <c r="H321" s="2">
        <v>13</v>
      </c>
      <c r="I321" s="2">
        <v>1559</v>
      </c>
      <c r="J321" s="2" t="s">
        <v>18</v>
      </c>
      <c r="K321" s="2" t="s">
        <v>19</v>
      </c>
      <c r="L321" s="2" t="s">
        <v>35</v>
      </c>
      <c r="M321" s="2" t="s">
        <v>36</v>
      </c>
      <c r="N321" s="2" t="s">
        <v>1057</v>
      </c>
      <c r="O321" s="2" t="s">
        <v>1047</v>
      </c>
      <c r="P321" t="s">
        <v>1079</v>
      </c>
      <c r="Q321">
        <v>2025</v>
      </c>
    </row>
    <row r="322" spans="1:17" hidden="1" x14ac:dyDescent="0.25">
      <c r="A322" s="1" t="s">
        <v>503</v>
      </c>
      <c r="B322" s="3">
        <v>45462</v>
      </c>
      <c r="C322" s="1" t="s">
        <v>504</v>
      </c>
      <c r="D322" s="1" t="s">
        <v>24</v>
      </c>
      <c r="E322" s="1" t="s">
        <v>67</v>
      </c>
      <c r="F322" s="2">
        <v>190.97</v>
      </c>
      <c r="G322" s="2" t="s">
        <v>26</v>
      </c>
      <c r="H322" s="2">
        <v>13</v>
      </c>
      <c r="I322" s="2">
        <v>2482.58</v>
      </c>
      <c r="J322" s="2" t="s">
        <v>18</v>
      </c>
      <c r="K322" s="2" t="s">
        <v>19</v>
      </c>
      <c r="L322" s="2" t="s">
        <v>20</v>
      </c>
      <c r="M322" s="2" t="s">
        <v>88</v>
      </c>
      <c r="N322" s="2" t="s">
        <v>1062</v>
      </c>
      <c r="O322" s="2" t="s">
        <v>1059</v>
      </c>
      <c r="P322" t="s">
        <v>1079</v>
      </c>
      <c r="Q322">
        <v>2024</v>
      </c>
    </row>
    <row r="323" spans="1:17" hidden="1" x14ac:dyDescent="0.25">
      <c r="A323" s="1" t="s">
        <v>505</v>
      </c>
      <c r="B323" s="3">
        <v>45519</v>
      </c>
      <c r="C323" s="1" t="s">
        <v>201</v>
      </c>
      <c r="D323" s="1" t="s">
        <v>39</v>
      </c>
      <c r="E323" s="1" t="s">
        <v>25</v>
      </c>
      <c r="F323" s="2">
        <v>273.52999999999997</v>
      </c>
      <c r="G323" s="2" t="s">
        <v>40</v>
      </c>
      <c r="H323" s="2">
        <v>12</v>
      </c>
      <c r="I323" s="2">
        <v>3282.36</v>
      </c>
      <c r="J323" s="2" t="s">
        <v>63</v>
      </c>
      <c r="K323" s="2" t="s">
        <v>19</v>
      </c>
      <c r="L323" s="2" t="s">
        <v>41</v>
      </c>
      <c r="M323" s="2" t="s">
        <v>76</v>
      </c>
      <c r="N323" s="2" t="s">
        <v>1051</v>
      </c>
      <c r="O323" s="2" t="s">
        <v>1047</v>
      </c>
      <c r="P323" t="s">
        <v>1079</v>
      </c>
      <c r="Q323">
        <v>2024</v>
      </c>
    </row>
    <row r="324" spans="1:17" hidden="1" x14ac:dyDescent="0.25">
      <c r="A324" s="1" t="s">
        <v>506</v>
      </c>
      <c r="B324" s="3">
        <v>45424</v>
      </c>
      <c r="C324" s="1" t="s">
        <v>123</v>
      </c>
      <c r="D324" s="1" t="s">
        <v>55</v>
      </c>
      <c r="E324" s="1" t="s">
        <v>25</v>
      </c>
      <c r="F324" s="2">
        <v>46.05</v>
      </c>
      <c r="G324" s="2" t="s">
        <v>79</v>
      </c>
      <c r="H324" s="2">
        <v>20</v>
      </c>
      <c r="I324" s="2">
        <v>921</v>
      </c>
      <c r="J324" s="2" t="s">
        <v>18</v>
      </c>
      <c r="K324" s="2" t="s">
        <v>19</v>
      </c>
      <c r="L324" s="2" t="s">
        <v>27</v>
      </c>
      <c r="M324" s="2" t="s">
        <v>28</v>
      </c>
      <c r="N324" s="2" t="s">
        <v>1057</v>
      </c>
      <c r="O324" s="2" t="s">
        <v>1055</v>
      </c>
      <c r="P324" t="s">
        <v>1079</v>
      </c>
      <c r="Q324">
        <v>2024</v>
      </c>
    </row>
    <row r="325" spans="1:17" hidden="1" x14ac:dyDescent="0.25">
      <c r="A325" s="1" t="s">
        <v>507</v>
      </c>
      <c r="B325" s="3">
        <v>45312</v>
      </c>
      <c r="C325" s="1" t="s">
        <v>108</v>
      </c>
      <c r="D325" s="1" t="s">
        <v>55</v>
      </c>
      <c r="E325" s="1" t="s">
        <v>45</v>
      </c>
      <c r="F325" s="2">
        <v>167.51</v>
      </c>
      <c r="G325" s="2" t="s">
        <v>56</v>
      </c>
      <c r="H325" s="2">
        <v>10</v>
      </c>
      <c r="I325" s="2">
        <v>1675.1</v>
      </c>
      <c r="J325" s="2" t="s">
        <v>33</v>
      </c>
      <c r="K325" s="2" t="s">
        <v>34</v>
      </c>
      <c r="L325" s="2" t="s">
        <v>20</v>
      </c>
      <c r="M325" s="2" t="s">
        <v>88</v>
      </c>
      <c r="N325" s="2" t="s">
        <v>1050</v>
      </c>
      <c r="O325" s="2" t="s">
        <v>1055</v>
      </c>
      <c r="P325" t="s">
        <v>1079</v>
      </c>
      <c r="Q325">
        <v>2024</v>
      </c>
    </row>
    <row r="326" spans="1:17" x14ac:dyDescent="0.25">
      <c r="A326" s="1" t="s">
        <v>508</v>
      </c>
      <c r="B326" s="3">
        <v>45696</v>
      </c>
      <c r="C326" s="1" t="s">
        <v>54</v>
      </c>
      <c r="D326" s="1" t="s">
        <v>39</v>
      </c>
      <c r="E326" s="1" t="s">
        <v>67</v>
      </c>
      <c r="F326" s="2">
        <v>260.14</v>
      </c>
      <c r="G326" s="2" t="s">
        <v>136</v>
      </c>
      <c r="H326" s="2">
        <v>8</v>
      </c>
      <c r="I326" s="2">
        <v>2081.1</v>
      </c>
      <c r="J326" s="2" t="s">
        <v>18</v>
      </c>
      <c r="K326" s="2" t="s">
        <v>34</v>
      </c>
      <c r="L326" s="2" t="s">
        <v>47</v>
      </c>
      <c r="M326" s="2" t="s">
        <v>153</v>
      </c>
      <c r="N326" s="2" t="s">
        <v>1060</v>
      </c>
      <c r="O326" s="2" t="s">
        <v>1063</v>
      </c>
      <c r="P326" t="s">
        <v>1079</v>
      </c>
      <c r="Q326">
        <v>2025</v>
      </c>
    </row>
    <row r="327" spans="1:17" x14ac:dyDescent="0.25">
      <c r="A327" s="1" t="s">
        <v>509</v>
      </c>
      <c r="B327" s="3">
        <v>45859</v>
      </c>
      <c r="C327" s="1" t="s">
        <v>156</v>
      </c>
      <c r="D327" s="1" t="s">
        <v>24</v>
      </c>
      <c r="E327" s="1" t="s">
        <v>45</v>
      </c>
      <c r="F327" s="2">
        <v>101.91</v>
      </c>
      <c r="G327" s="2" t="s">
        <v>170</v>
      </c>
      <c r="H327" s="2">
        <v>13</v>
      </c>
      <c r="I327" s="2">
        <v>1324.81</v>
      </c>
      <c r="J327" s="2" t="s">
        <v>18</v>
      </c>
      <c r="K327" s="2" t="s">
        <v>19</v>
      </c>
      <c r="L327" s="2" t="s">
        <v>27</v>
      </c>
      <c r="M327" s="2" t="s">
        <v>59</v>
      </c>
      <c r="N327" s="2" t="s">
        <v>1052</v>
      </c>
      <c r="O327" s="2" t="s">
        <v>1056</v>
      </c>
      <c r="P327" t="s">
        <v>1079</v>
      </c>
      <c r="Q327">
        <v>2025</v>
      </c>
    </row>
    <row r="328" spans="1:17" hidden="1" x14ac:dyDescent="0.25">
      <c r="A328" s="1" t="s">
        <v>510</v>
      </c>
      <c r="B328" s="3">
        <v>45368</v>
      </c>
      <c r="C328" s="1" t="s">
        <v>196</v>
      </c>
      <c r="D328" s="1" t="s">
        <v>55</v>
      </c>
      <c r="E328" s="1" t="s">
        <v>25</v>
      </c>
      <c r="F328" s="2">
        <v>132.25</v>
      </c>
      <c r="G328" s="2" t="s">
        <v>90</v>
      </c>
      <c r="H328" s="2">
        <v>10</v>
      </c>
      <c r="I328" s="2">
        <v>1322.48</v>
      </c>
      <c r="J328" s="2" t="s">
        <v>63</v>
      </c>
      <c r="K328" s="2" t="s">
        <v>34</v>
      </c>
      <c r="L328" s="2" t="s">
        <v>20</v>
      </c>
      <c r="M328" s="2" t="s">
        <v>88</v>
      </c>
      <c r="N328" s="2" t="s">
        <v>1054</v>
      </c>
      <c r="O328" s="2" t="s">
        <v>1055</v>
      </c>
      <c r="P328" t="s">
        <v>1079</v>
      </c>
      <c r="Q328">
        <v>2024</v>
      </c>
    </row>
    <row r="329" spans="1:17" x14ac:dyDescent="0.25">
      <c r="A329" s="1" t="s">
        <v>511</v>
      </c>
      <c r="B329" s="3">
        <v>45948</v>
      </c>
      <c r="C329" s="1" t="s">
        <v>446</v>
      </c>
      <c r="D329" s="1" t="s">
        <v>39</v>
      </c>
      <c r="E329" s="1" t="s">
        <v>16</v>
      </c>
      <c r="F329" s="2">
        <v>13.6</v>
      </c>
      <c r="G329" s="2" t="s">
        <v>93</v>
      </c>
      <c r="H329" s="2">
        <v>93</v>
      </c>
      <c r="I329" s="2">
        <v>1264.71</v>
      </c>
      <c r="J329" s="2" t="s">
        <v>63</v>
      </c>
      <c r="K329" s="2" t="s">
        <v>19</v>
      </c>
      <c r="L329" s="2" t="s">
        <v>35</v>
      </c>
      <c r="M329" s="2" t="s">
        <v>126</v>
      </c>
      <c r="N329" s="2" t="s">
        <v>1046</v>
      </c>
      <c r="O329" s="2" t="s">
        <v>1063</v>
      </c>
      <c r="P329" t="s">
        <v>1079</v>
      </c>
      <c r="Q329">
        <v>2025</v>
      </c>
    </row>
    <row r="330" spans="1:17" hidden="1" x14ac:dyDescent="0.25">
      <c r="A330" s="1" t="s">
        <v>512</v>
      </c>
      <c r="B330" s="3">
        <v>45566</v>
      </c>
      <c r="C330" s="1" t="s">
        <v>292</v>
      </c>
      <c r="D330" s="1" t="s">
        <v>15</v>
      </c>
      <c r="E330" s="1" t="s">
        <v>45</v>
      </c>
      <c r="F330" s="2">
        <v>41.06</v>
      </c>
      <c r="G330" s="2" t="s">
        <v>51</v>
      </c>
      <c r="H330" s="2">
        <v>13</v>
      </c>
      <c r="I330" s="2">
        <v>533.75</v>
      </c>
      <c r="J330" s="2" t="s">
        <v>18</v>
      </c>
      <c r="K330" s="2" t="s">
        <v>19</v>
      </c>
      <c r="L330" s="2" t="s">
        <v>41</v>
      </c>
      <c r="M330" s="2" t="s">
        <v>141</v>
      </c>
      <c r="N330" s="2" t="s">
        <v>1046</v>
      </c>
      <c r="O330" s="2" t="s">
        <v>1053</v>
      </c>
      <c r="P330" t="s">
        <v>1079</v>
      </c>
      <c r="Q330">
        <v>2024</v>
      </c>
    </row>
    <row r="331" spans="1:17" x14ac:dyDescent="0.25">
      <c r="A331" s="1" t="s">
        <v>513</v>
      </c>
      <c r="B331" s="3">
        <v>45664</v>
      </c>
      <c r="C331" s="1" t="s">
        <v>514</v>
      </c>
      <c r="D331" s="1" t="s">
        <v>39</v>
      </c>
      <c r="E331" s="1" t="s">
        <v>71</v>
      </c>
      <c r="F331" s="2">
        <v>210.11</v>
      </c>
      <c r="G331" s="2" t="s">
        <v>93</v>
      </c>
      <c r="H331" s="2">
        <v>9</v>
      </c>
      <c r="I331" s="2">
        <v>1891.02</v>
      </c>
      <c r="J331" s="2" t="s">
        <v>18</v>
      </c>
      <c r="K331" s="2" t="s">
        <v>34</v>
      </c>
      <c r="L331" s="2" t="s">
        <v>41</v>
      </c>
      <c r="M331" s="2" t="s">
        <v>141</v>
      </c>
      <c r="N331" s="2" t="s">
        <v>1050</v>
      </c>
      <c r="O331" s="2" t="s">
        <v>1053</v>
      </c>
      <c r="P331" t="s">
        <v>1079</v>
      </c>
      <c r="Q331">
        <v>2025</v>
      </c>
    </row>
    <row r="332" spans="1:17" hidden="1" x14ac:dyDescent="0.25">
      <c r="A332" s="1" t="s">
        <v>515</v>
      </c>
      <c r="B332" s="3">
        <v>45297</v>
      </c>
      <c r="C332" s="1" t="s">
        <v>128</v>
      </c>
      <c r="D332" s="1" t="s">
        <v>15</v>
      </c>
      <c r="E332" s="1" t="s">
        <v>25</v>
      </c>
      <c r="F332" s="2">
        <v>72.069999999999993</v>
      </c>
      <c r="G332" s="2" t="s">
        <v>17</v>
      </c>
      <c r="H332" s="2">
        <v>17</v>
      </c>
      <c r="I332" s="2">
        <v>1225.26</v>
      </c>
      <c r="J332" s="2" t="s">
        <v>18</v>
      </c>
      <c r="K332" s="2" t="s">
        <v>19</v>
      </c>
      <c r="L332" s="2" t="s">
        <v>35</v>
      </c>
      <c r="M332" s="2" t="s">
        <v>36</v>
      </c>
      <c r="N332" s="2" t="s">
        <v>1050</v>
      </c>
      <c r="O332" s="2" t="s">
        <v>1063</v>
      </c>
      <c r="P332" t="s">
        <v>1079</v>
      </c>
      <c r="Q332">
        <v>2024</v>
      </c>
    </row>
    <row r="333" spans="1:17" x14ac:dyDescent="0.25">
      <c r="A333" s="1" t="s">
        <v>516</v>
      </c>
      <c r="B333" s="3">
        <v>45883</v>
      </c>
      <c r="C333" s="1" t="s">
        <v>143</v>
      </c>
      <c r="D333" s="1" t="s">
        <v>24</v>
      </c>
      <c r="E333" s="1" t="s">
        <v>45</v>
      </c>
      <c r="F333" s="2">
        <v>143.66</v>
      </c>
      <c r="G333" s="2" t="s">
        <v>68</v>
      </c>
      <c r="H333" s="2">
        <v>11</v>
      </c>
      <c r="I333" s="2">
        <v>1580.21</v>
      </c>
      <c r="J333" s="2" t="s">
        <v>18</v>
      </c>
      <c r="K333" s="2" t="s">
        <v>19</v>
      </c>
      <c r="L333" s="2" t="s">
        <v>35</v>
      </c>
      <c r="M333" s="2" t="s">
        <v>52</v>
      </c>
      <c r="N333" s="2" t="s">
        <v>1051</v>
      </c>
      <c r="O333" s="2" t="s">
        <v>1047</v>
      </c>
      <c r="P333" t="s">
        <v>1079</v>
      </c>
      <c r="Q333">
        <v>2025</v>
      </c>
    </row>
    <row r="334" spans="1:17" hidden="1" x14ac:dyDescent="0.25">
      <c r="A334" s="1" t="s">
        <v>517</v>
      </c>
      <c r="B334" s="3">
        <v>45357</v>
      </c>
      <c r="C334" s="1" t="s">
        <v>118</v>
      </c>
      <c r="D334" s="1" t="s">
        <v>55</v>
      </c>
      <c r="E334" s="1" t="s">
        <v>16</v>
      </c>
      <c r="F334" s="2">
        <v>188.47</v>
      </c>
      <c r="G334" s="2" t="s">
        <v>79</v>
      </c>
      <c r="H334" s="2">
        <v>8</v>
      </c>
      <c r="I334" s="2">
        <v>1507.73</v>
      </c>
      <c r="J334" s="2" t="s">
        <v>63</v>
      </c>
      <c r="K334" s="2" t="s">
        <v>34</v>
      </c>
      <c r="L334" s="2" t="s">
        <v>41</v>
      </c>
      <c r="M334" s="2" t="s">
        <v>76</v>
      </c>
      <c r="N334" s="2" t="s">
        <v>1054</v>
      </c>
      <c r="O334" s="2" t="s">
        <v>1059</v>
      </c>
      <c r="P334" t="s">
        <v>1079</v>
      </c>
      <c r="Q334">
        <v>2024</v>
      </c>
    </row>
    <row r="335" spans="1:17" x14ac:dyDescent="0.25">
      <c r="A335" s="1" t="s">
        <v>518</v>
      </c>
      <c r="B335" s="3">
        <v>45906</v>
      </c>
      <c r="C335" s="1" t="s">
        <v>110</v>
      </c>
      <c r="D335" s="1" t="s">
        <v>15</v>
      </c>
      <c r="E335" s="1" t="s">
        <v>71</v>
      </c>
      <c r="F335" s="2">
        <v>333.67</v>
      </c>
      <c r="G335" s="2" t="s">
        <v>62</v>
      </c>
      <c r="H335" s="2">
        <v>9</v>
      </c>
      <c r="I335" s="2">
        <v>3003</v>
      </c>
      <c r="J335" s="2" t="s">
        <v>33</v>
      </c>
      <c r="K335" s="2" t="s">
        <v>19</v>
      </c>
      <c r="L335" s="2" t="s">
        <v>27</v>
      </c>
      <c r="M335" s="2" t="s">
        <v>161</v>
      </c>
      <c r="N335" s="2" t="s">
        <v>1049</v>
      </c>
      <c r="O335" s="2" t="s">
        <v>1063</v>
      </c>
      <c r="P335" t="s">
        <v>1079</v>
      </c>
      <c r="Q335">
        <v>2025</v>
      </c>
    </row>
    <row r="336" spans="1:17" x14ac:dyDescent="0.25">
      <c r="A336" s="1" t="s">
        <v>519</v>
      </c>
      <c r="B336" s="3">
        <v>45780</v>
      </c>
      <c r="C336" s="1" t="s">
        <v>133</v>
      </c>
      <c r="D336" s="1" t="s">
        <v>15</v>
      </c>
      <c r="E336" s="1" t="s">
        <v>71</v>
      </c>
      <c r="F336" s="2">
        <v>262.58999999999997</v>
      </c>
      <c r="G336" s="2" t="s">
        <v>17</v>
      </c>
      <c r="H336" s="2">
        <v>5</v>
      </c>
      <c r="I336" s="2">
        <v>1312.95</v>
      </c>
      <c r="J336" s="2" t="s">
        <v>18</v>
      </c>
      <c r="K336" s="2" t="s">
        <v>34</v>
      </c>
      <c r="L336" s="2" t="s">
        <v>27</v>
      </c>
      <c r="M336" s="2" t="s">
        <v>28</v>
      </c>
      <c r="N336" s="2" t="s">
        <v>1057</v>
      </c>
      <c r="O336" s="2" t="s">
        <v>1063</v>
      </c>
      <c r="P336" t="s">
        <v>1079</v>
      </c>
      <c r="Q336">
        <v>2025</v>
      </c>
    </row>
    <row r="337" spans="1:17" hidden="1" x14ac:dyDescent="0.25">
      <c r="A337" s="1" t="s">
        <v>520</v>
      </c>
      <c r="B337" s="3">
        <v>45653</v>
      </c>
      <c r="C337" s="1" t="s">
        <v>324</v>
      </c>
      <c r="D337" s="1" t="s">
        <v>55</v>
      </c>
      <c r="E337" s="1" t="s">
        <v>25</v>
      </c>
      <c r="F337" s="2">
        <v>51.61</v>
      </c>
      <c r="G337" s="2" t="s">
        <v>148</v>
      </c>
      <c r="H337" s="2">
        <v>19</v>
      </c>
      <c r="I337" s="2">
        <v>980.63</v>
      </c>
      <c r="J337" s="2" t="s">
        <v>33</v>
      </c>
      <c r="K337" s="2" t="s">
        <v>19</v>
      </c>
      <c r="L337" s="2" t="s">
        <v>20</v>
      </c>
      <c r="M337" s="2" t="s">
        <v>88</v>
      </c>
      <c r="N337" s="2" t="s">
        <v>1061</v>
      </c>
      <c r="O337" s="2" t="s">
        <v>1058</v>
      </c>
      <c r="P337" t="s">
        <v>1079</v>
      </c>
      <c r="Q337">
        <v>2024</v>
      </c>
    </row>
    <row r="338" spans="1:17" hidden="1" x14ac:dyDescent="0.25">
      <c r="A338" s="1" t="s">
        <v>521</v>
      </c>
      <c r="B338" s="3">
        <v>45478</v>
      </c>
      <c r="C338" s="1" t="s">
        <v>133</v>
      </c>
      <c r="D338" s="1" t="s">
        <v>24</v>
      </c>
      <c r="E338" s="1" t="s">
        <v>45</v>
      </c>
      <c r="F338" s="2">
        <v>291.69</v>
      </c>
      <c r="G338" s="2" t="s">
        <v>170</v>
      </c>
      <c r="H338" s="2">
        <v>12</v>
      </c>
      <c r="I338" s="2">
        <v>3500.25</v>
      </c>
      <c r="J338" s="2" t="s">
        <v>18</v>
      </c>
      <c r="K338" s="2" t="s">
        <v>19</v>
      </c>
      <c r="L338" s="2" t="s">
        <v>41</v>
      </c>
      <c r="M338" s="2" t="s">
        <v>42</v>
      </c>
      <c r="N338" s="2" t="s">
        <v>1052</v>
      </c>
      <c r="O338" s="2" t="s">
        <v>1058</v>
      </c>
      <c r="P338" t="s">
        <v>1079</v>
      </c>
      <c r="Q338">
        <v>2024</v>
      </c>
    </row>
    <row r="339" spans="1:17" hidden="1" x14ac:dyDescent="0.25">
      <c r="A339" s="1" t="s">
        <v>522</v>
      </c>
      <c r="B339" s="3">
        <v>45583</v>
      </c>
      <c r="C339" s="1" t="s">
        <v>112</v>
      </c>
      <c r="D339" s="1" t="s">
        <v>39</v>
      </c>
      <c r="E339" s="1" t="s">
        <v>25</v>
      </c>
      <c r="F339" s="2">
        <v>119.12</v>
      </c>
      <c r="G339" s="2" t="s">
        <v>136</v>
      </c>
      <c r="H339" s="2">
        <v>18</v>
      </c>
      <c r="I339" s="2">
        <v>2144.12</v>
      </c>
      <c r="J339" s="2" t="s">
        <v>18</v>
      </c>
      <c r="K339" s="2" t="s">
        <v>19</v>
      </c>
      <c r="L339" s="2" t="s">
        <v>35</v>
      </c>
      <c r="M339" s="2" t="s">
        <v>52</v>
      </c>
      <c r="N339" s="2" t="s">
        <v>1046</v>
      </c>
      <c r="O339" s="2" t="s">
        <v>1058</v>
      </c>
      <c r="P339" t="s">
        <v>1079</v>
      </c>
      <c r="Q339">
        <v>2024</v>
      </c>
    </row>
    <row r="340" spans="1:17" x14ac:dyDescent="0.25">
      <c r="A340" s="1" t="s">
        <v>523</v>
      </c>
      <c r="B340" s="3">
        <v>45920</v>
      </c>
      <c r="C340" s="1" t="s">
        <v>58</v>
      </c>
      <c r="D340" s="1" t="s">
        <v>24</v>
      </c>
      <c r="E340" s="1" t="s">
        <v>45</v>
      </c>
      <c r="F340" s="2">
        <v>303.25</v>
      </c>
      <c r="G340" s="2" t="s">
        <v>68</v>
      </c>
      <c r="H340" s="2">
        <v>8</v>
      </c>
      <c r="I340" s="2">
        <v>2426</v>
      </c>
      <c r="J340" s="2" t="s">
        <v>18</v>
      </c>
      <c r="K340" s="2" t="s">
        <v>34</v>
      </c>
      <c r="L340" s="2" t="s">
        <v>47</v>
      </c>
      <c r="M340" s="2" t="s">
        <v>153</v>
      </c>
      <c r="N340" s="2" t="s">
        <v>1049</v>
      </c>
      <c r="O340" s="2" t="s">
        <v>1063</v>
      </c>
      <c r="P340" t="s">
        <v>1079</v>
      </c>
      <c r="Q340">
        <v>2025</v>
      </c>
    </row>
    <row r="341" spans="1:17" hidden="1" x14ac:dyDescent="0.25">
      <c r="A341" s="1" t="s">
        <v>524</v>
      </c>
      <c r="B341" s="3">
        <v>45474</v>
      </c>
      <c r="C341" s="1" t="s">
        <v>156</v>
      </c>
      <c r="D341" s="1" t="s">
        <v>31</v>
      </c>
      <c r="E341" s="1" t="s">
        <v>45</v>
      </c>
      <c r="F341" s="2">
        <v>32.08</v>
      </c>
      <c r="G341" s="2" t="s">
        <v>98</v>
      </c>
      <c r="H341" s="2">
        <v>71</v>
      </c>
      <c r="I341" s="2">
        <v>2277.5100000000002</v>
      </c>
      <c r="J341" s="2" t="s">
        <v>18</v>
      </c>
      <c r="K341" s="2" t="s">
        <v>19</v>
      </c>
      <c r="L341" s="2" t="s">
        <v>41</v>
      </c>
      <c r="M341" s="2" t="s">
        <v>76</v>
      </c>
      <c r="N341" s="2" t="s">
        <v>1052</v>
      </c>
      <c r="O341" s="2" t="s">
        <v>1056</v>
      </c>
      <c r="P341" t="s">
        <v>1079</v>
      </c>
      <c r="Q341">
        <v>2024</v>
      </c>
    </row>
    <row r="342" spans="1:17" hidden="1" x14ac:dyDescent="0.25">
      <c r="A342" s="1" t="s">
        <v>525</v>
      </c>
      <c r="B342" s="3">
        <v>45410</v>
      </c>
      <c r="C342" s="1" t="s">
        <v>95</v>
      </c>
      <c r="D342" s="1" t="s">
        <v>39</v>
      </c>
      <c r="E342" s="1" t="s">
        <v>67</v>
      </c>
      <c r="F342" s="2">
        <v>1230.77</v>
      </c>
      <c r="G342" s="2" t="s">
        <v>136</v>
      </c>
      <c r="H342" s="2">
        <v>1</v>
      </c>
      <c r="I342" s="2">
        <v>1230.77</v>
      </c>
      <c r="J342" s="2" t="s">
        <v>18</v>
      </c>
      <c r="K342" s="2" t="s">
        <v>34</v>
      </c>
      <c r="L342" s="2" t="s">
        <v>27</v>
      </c>
      <c r="M342" s="2" t="s">
        <v>59</v>
      </c>
      <c r="N342" s="2" t="s">
        <v>1048</v>
      </c>
      <c r="O342" s="2" t="s">
        <v>1055</v>
      </c>
      <c r="P342" t="s">
        <v>1079</v>
      </c>
      <c r="Q342">
        <v>2024</v>
      </c>
    </row>
    <row r="343" spans="1:17" hidden="1" x14ac:dyDescent="0.25">
      <c r="A343" s="1" t="s">
        <v>526</v>
      </c>
      <c r="B343" s="3">
        <v>45451</v>
      </c>
      <c r="C343" s="1" t="s">
        <v>290</v>
      </c>
      <c r="D343" s="1" t="s">
        <v>24</v>
      </c>
      <c r="E343" s="1" t="s">
        <v>45</v>
      </c>
      <c r="F343" s="2">
        <v>231.32</v>
      </c>
      <c r="G343" s="2" t="s">
        <v>75</v>
      </c>
      <c r="H343" s="2">
        <v>10</v>
      </c>
      <c r="I343" s="2">
        <v>2313.16</v>
      </c>
      <c r="J343" s="2" t="s">
        <v>18</v>
      </c>
      <c r="K343" s="2" t="s">
        <v>34</v>
      </c>
      <c r="L343" s="2" t="s">
        <v>35</v>
      </c>
      <c r="M343" s="2" t="s">
        <v>36</v>
      </c>
      <c r="N343" s="2" t="s">
        <v>1062</v>
      </c>
      <c r="O343" s="2" t="s">
        <v>1063</v>
      </c>
      <c r="P343" t="s">
        <v>1079</v>
      </c>
      <c r="Q343">
        <v>2024</v>
      </c>
    </row>
    <row r="344" spans="1:17" hidden="1" x14ac:dyDescent="0.25">
      <c r="A344" s="1" t="s">
        <v>527</v>
      </c>
      <c r="B344" s="3">
        <v>45565</v>
      </c>
      <c r="C344" s="1" t="s">
        <v>133</v>
      </c>
      <c r="D344" s="1" t="s">
        <v>55</v>
      </c>
      <c r="E344" s="1" t="s">
        <v>16</v>
      </c>
      <c r="F344" s="2">
        <v>313.95</v>
      </c>
      <c r="G344" s="2" t="s">
        <v>148</v>
      </c>
      <c r="H344" s="2">
        <v>9</v>
      </c>
      <c r="I344" s="2">
        <v>2825.57</v>
      </c>
      <c r="J344" s="2" t="s">
        <v>63</v>
      </c>
      <c r="K344" s="2" t="s">
        <v>34</v>
      </c>
      <c r="L344" s="2" t="s">
        <v>35</v>
      </c>
      <c r="M344" s="2" t="s">
        <v>36</v>
      </c>
      <c r="N344" s="2" t="s">
        <v>1049</v>
      </c>
      <c r="O344" s="2" t="s">
        <v>1056</v>
      </c>
      <c r="P344" t="s">
        <v>1079</v>
      </c>
      <c r="Q344">
        <v>2024</v>
      </c>
    </row>
    <row r="345" spans="1:17" hidden="1" x14ac:dyDescent="0.25">
      <c r="A345" s="1" t="s">
        <v>528</v>
      </c>
      <c r="B345" s="3">
        <v>45452</v>
      </c>
      <c r="C345" s="1" t="s">
        <v>169</v>
      </c>
      <c r="D345" s="1" t="s">
        <v>55</v>
      </c>
      <c r="E345" s="1" t="s">
        <v>45</v>
      </c>
      <c r="F345" s="2">
        <v>296.26</v>
      </c>
      <c r="G345" s="2" t="s">
        <v>79</v>
      </c>
      <c r="H345" s="2">
        <v>8</v>
      </c>
      <c r="I345" s="2">
        <v>2370.12</v>
      </c>
      <c r="J345" s="2" t="s">
        <v>18</v>
      </c>
      <c r="K345" s="2" t="s">
        <v>34</v>
      </c>
      <c r="L345" s="2" t="s">
        <v>20</v>
      </c>
      <c r="M345" s="2" t="s">
        <v>88</v>
      </c>
      <c r="N345" s="2" t="s">
        <v>1062</v>
      </c>
      <c r="O345" s="2" t="s">
        <v>1055</v>
      </c>
      <c r="P345" t="s">
        <v>1079</v>
      </c>
      <c r="Q345">
        <v>2024</v>
      </c>
    </row>
    <row r="346" spans="1:17" hidden="1" x14ac:dyDescent="0.25">
      <c r="A346" s="1" t="s">
        <v>529</v>
      </c>
      <c r="B346" s="3">
        <v>45517</v>
      </c>
      <c r="C346" s="1" t="s">
        <v>266</v>
      </c>
      <c r="D346" s="1" t="s">
        <v>31</v>
      </c>
      <c r="E346" s="1" t="s">
        <v>45</v>
      </c>
      <c r="F346" s="2">
        <v>414.23</v>
      </c>
      <c r="G346" s="2" t="s">
        <v>32</v>
      </c>
      <c r="H346" s="2">
        <v>11</v>
      </c>
      <c r="I346" s="2">
        <v>4556.4799999999996</v>
      </c>
      <c r="J346" s="2" t="s">
        <v>18</v>
      </c>
      <c r="K346" s="2" t="s">
        <v>19</v>
      </c>
      <c r="L346" s="2" t="s">
        <v>47</v>
      </c>
      <c r="M346" s="2" t="s">
        <v>85</v>
      </c>
      <c r="N346" s="2" t="s">
        <v>1051</v>
      </c>
      <c r="O346" s="2" t="s">
        <v>1053</v>
      </c>
      <c r="P346" t="s">
        <v>1078</v>
      </c>
      <c r="Q346">
        <v>2024</v>
      </c>
    </row>
    <row r="347" spans="1:17" hidden="1" x14ac:dyDescent="0.25">
      <c r="A347" s="1" t="s">
        <v>530</v>
      </c>
      <c r="B347" s="3">
        <v>45435</v>
      </c>
      <c r="C347" s="1" t="s">
        <v>531</v>
      </c>
      <c r="D347" s="1" t="s">
        <v>39</v>
      </c>
      <c r="E347" s="1" t="s">
        <v>71</v>
      </c>
      <c r="F347" s="2">
        <v>75.819999999999993</v>
      </c>
      <c r="G347" s="2" t="s">
        <v>40</v>
      </c>
      <c r="H347" s="2">
        <v>11</v>
      </c>
      <c r="I347" s="2">
        <v>834</v>
      </c>
      <c r="J347" s="2" t="s">
        <v>18</v>
      </c>
      <c r="K347" s="2" t="s">
        <v>19</v>
      </c>
      <c r="L347" s="2" t="s">
        <v>27</v>
      </c>
      <c r="M347" s="2" t="s">
        <v>59</v>
      </c>
      <c r="N347" s="2" t="s">
        <v>1057</v>
      </c>
      <c r="O347" s="2" t="s">
        <v>1047</v>
      </c>
      <c r="P347" t="s">
        <v>1079</v>
      </c>
      <c r="Q347">
        <v>2024</v>
      </c>
    </row>
    <row r="348" spans="1:17" hidden="1" x14ac:dyDescent="0.25">
      <c r="A348" s="1" t="s">
        <v>532</v>
      </c>
      <c r="B348" s="3">
        <v>45342</v>
      </c>
      <c r="C348" s="1" t="s">
        <v>533</v>
      </c>
      <c r="D348" s="1" t="s">
        <v>55</v>
      </c>
      <c r="E348" s="1" t="s">
        <v>16</v>
      </c>
      <c r="F348" s="2">
        <v>97.49</v>
      </c>
      <c r="G348" s="2" t="s">
        <v>56</v>
      </c>
      <c r="H348" s="2">
        <v>12</v>
      </c>
      <c r="I348" s="2">
        <v>1169.8799999999999</v>
      </c>
      <c r="J348" s="2" t="s">
        <v>18</v>
      </c>
      <c r="K348" s="2" t="s">
        <v>19</v>
      </c>
      <c r="L348" s="2" t="s">
        <v>35</v>
      </c>
      <c r="M348" s="2" t="s">
        <v>36</v>
      </c>
      <c r="N348" s="2" t="s">
        <v>1060</v>
      </c>
      <c r="O348" s="2" t="s">
        <v>1053</v>
      </c>
      <c r="P348" t="s">
        <v>1079</v>
      </c>
      <c r="Q348">
        <v>2024</v>
      </c>
    </row>
    <row r="349" spans="1:17" x14ac:dyDescent="0.25">
      <c r="A349" s="1" t="s">
        <v>534</v>
      </c>
      <c r="B349" s="3">
        <v>45933</v>
      </c>
      <c r="C349" s="1" t="s">
        <v>30</v>
      </c>
      <c r="D349" s="1" t="s">
        <v>39</v>
      </c>
      <c r="E349" s="1" t="s">
        <v>67</v>
      </c>
      <c r="F349" s="2">
        <v>253.75</v>
      </c>
      <c r="G349" s="2" t="s">
        <v>93</v>
      </c>
      <c r="H349" s="2">
        <v>7</v>
      </c>
      <c r="I349" s="2">
        <v>1776.28</v>
      </c>
      <c r="J349" s="2" t="s">
        <v>63</v>
      </c>
      <c r="K349" s="2" t="s">
        <v>34</v>
      </c>
      <c r="L349" s="2" t="s">
        <v>41</v>
      </c>
      <c r="M349" s="2" t="s">
        <v>141</v>
      </c>
      <c r="N349" s="2" t="s">
        <v>1046</v>
      </c>
      <c r="O349" s="2" t="s">
        <v>1058</v>
      </c>
      <c r="P349" t="s">
        <v>1079</v>
      </c>
      <c r="Q349">
        <v>2025</v>
      </c>
    </row>
    <row r="350" spans="1:17" hidden="1" x14ac:dyDescent="0.25">
      <c r="A350" s="1" t="s">
        <v>535</v>
      </c>
      <c r="B350" s="3">
        <v>45535</v>
      </c>
      <c r="C350" s="1" t="s">
        <v>173</v>
      </c>
      <c r="D350" s="1" t="s">
        <v>31</v>
      </c>
      <c r="E350" s="1" t="s">
        <v>16</v>
      </c>
      <c r="F350" s="2">
        <v>199.75</v>
      </c>
      <c r="G350" s="2" t="s">
        <v>31</v>
      </c>
      <c r="H350" s="2">
        <v>10</v>
      </c>
      <c r="I350" s="2">
        <v>1997.49</v>
      </c>
      <c r="J350" s="2" t="s">
        <v>18</v>
      </c>
      <c r="K350" s="2" t="s">
        <v>34</v>
      </c>
      <c r="L350" s="2" t="s">
        <v>20</v>
      </c>
      <c r="M350" s="2" t="s">
        <v>64</v>
      </c>
      <c r="N350" s="2" t="s">
        <v>1051</v>
      </c>
      <c r="O350" s="2" t="s">
        <v>1063</v>
      </c>
      <c r="P350" t="s">
        <v>1079</v>
      </c>
      <c r="Q350">
        <v>2024</v>
      </c>
    </row>
    <row r="351" spans="1:17" x14ac:dyDescent="0.25">
      <c r="A351" s="1" t="s">
        <v>536</v>
      </c>
      <c r="B351" s="3">
        <v>45885</v>
      </c>
      <c r="C351" s="1" t="s">
        <v>128</v>
      </c>
      <c r="D351" s="1" t="s">
        <v>15</v>
      </c>
      <c r="E351" s="1" t="s">
        <v>71</v>
      </c>
      <c r="F351" s="2">
        <v>123.62</v>
      </c>
      <c r="G351" s="2" t="s">
        <v>82</v>
      </c>
      <c r="H351" s="2">
        <v>11</v>
      </c>
      <c r="I351" s="2">
        <v>1359.77</v>
      </c>
      <c r="J351" s="2" t="s">
        <v>63</v>
      </c>
      <c r="K351" s="2" t="s">
        <v>19</v>
      </c>
      <c r="L351" s="2" t="s">
        <v>27</v>
      </c>
      <c r="M351" s="2" t="s">
        <v>28</v>
      </c>
      <c r="N351" s="2" t="s">
        <v>1051</v>
      </c>
      <c r="O351" s="2" t="s">
        <v>1063</v>
      </c>
      <c r="P351" t="s">
        <v>1079</v>
      </c>
      <c r="Q351">
        <v>2025</v>
      </c>
    </row>
    <row r="352" spans="1:17" x14ac:dyDescent="0.25">
      <c r="A352" s="1" t="s">
        <v>537</v>
      </c>
      <c r="B352" s="3">
        <v>45943</v>
      </c>
      <c r="C352" s="1" t="s">
        <v>87</v>
      </c>
      <c r="D352" s="1" t="s">
        <v>55</v>
      </c>
      <c r="E352" s="1" t="s">
        <v>71</v>
      </c>
      <c r="F352" s="2">
        <v>74.88</v>
      </c>
      <c r="G352" s="2" t="s">
        <v>90</v>
      </c>
      <c r="H352" s="2">
        <v>10</v>
      </c>
      <c r="I352" s="2">
        <v>748.75</v>
      </c>
      <c r="J352" s="2" t="s">
        <v>33</v>
      </c>
      <c r="K352" s="2" t="s">
        <v>34</v>
      </c>
      <c r="L352" s="2" t="s">
        <v>47</v>
      </c>
      <c r="M352" s="2" t="s">
        <v>85</v>
      </c>
      <c r="N352" s="2" t="s">
        <v>1046</v>
      </c>
      <c r="O352" s="2" t="s">
        <v>1056</v>
      </c>
      <c r="P352" t="s">
        <v>1079</v>
      </c>
      <c r="Q352">
        <v>2025</v>
      </c>
    </row>
    <row r="353" spans="1:17" x14ac:dyDescent="0.25">
      <c r="A353" s="1" t="s">
        <v>538</v>
      </c>
      <c r="B353" s="3">
        <v>45736</v>
      </c>
      <c r="C353" s="1" t="s">
        <v>201</v>
      </c>
      <c r="D353" s="1" t="s">
        <v>55</v>
      </c>
      <c r="E353" s="1" t="s">
        <v>25</v>
      </c>
      <c r="F353" s="2">
        <v>106.28</v>
      </c>
      <c r="G353" s="2" t="s">
        <v>79</v>
      </c>
      <c r="H353" s="2">
        <v>15</v>
      </c>
      <c r="I353" s="2">
        <v>1594.2</v>
      </c>
      <c r="J353" s="2" t="s">
        <v>18</v>
      </c>
      <c r="K353" s="2" t="s">
        <v>19</v>
      </c>
      <c r="L353" s="2" t="s">
        <v>35</v>
      </c>
      <c r="M353" s="2" t="s">
        <v>126</v>
      </c>
      <c r="N353" s="2" t="s">
        <v>1054</v>
      </c>
      <c r="O353" s="2" t="s">
        <v>1047</v>
      </c>
      <c r="P353" t="s">
        <v>1079</v>
      </c>
      <c r="Q353">
        <v>2025</v>
      </c>
    </row>
    <row r="354" spans="1:17" hidden="1" x14ac:dyDescent="0.25">
      <c r="A354" s="1" t="s">
        <v>539</v>
      </c>
      <c r="B354" s="3">
        <v>45313</v>
      </c>
      <c r="C354" s="1" t="s">
        <v>540</v>
      </c>
      <c r="D354" s="1" t="s">
        <v>24</v>
      </c>
      <c r="E354" s="1" t="s">
        <v>45</v>
      </c>
      <c r="F354" s="2">
        <v>74.8</v>
      </c>
      <c r="G354" s="2" t="s">
        <v>68</v>
      </c>
      <c r="H354" s="2">
        <v>18</v>
      </c>
      <c r="I354" s="2">
        <v>1346.31</v>
      </c>
      <c r="J354" s="2" t="s">
        <v>63</v>
      </c>
      <c r="K354" s="2" t="s">
        <v>19</v>
      </c>
      <c r="L354" s="2" t="s">
        <v>27</v>
      </c>
      <c r="M354" s="2" t="s">
        <v>28</v>
      </c>
      <c r="N354" s="2" t="s">
        <v>1050</v>
      </c>
      <c r="O354" s="2" t="s">
        <v>1056</v>
      </c>
      <c r="P354" t="s">
        <v>1079</v>
      </c>
      <c r="Q354">
        <v>2024</v>
      </c>
    </row>
    <row r="355" spans="1:17" hidden="1" x14ac:dyDescent="0.25">
      <c r="A355" s="1" t="s">
        <v>541</v>
      </c>
      <c r="B355" s="3">
        <v>45402</v>
      </c>
      <c r="C355" s="1" t="s">
        <v>439</v>
      </c>
      <c r="D355" s="1" t="s">
        <v>15</v>
      </c>
      <c r="E355" s="1" t="s">
        <v>45</v>
      </c>
      <c r="F355" s="2">
        <v>90.43</v>
      </c>
      <c r="G355" s="2" t="s">
        <v>62</v>
      </c>
      <c r="H355" s="2">
        <v>15</v>
      </c>
      <c r="I355" s="2">
        <v>1356.5</v>
      </c>
      <c r="J355" s="2" t="s">
        <v>33</v>
      </c>
      <c r="K355" s="2" t="s">
        <v>19</v>
      </c>
      <c r="L355" s="2" t="s">
        <v>27</v>
      </c>
      <c r="M355" s="2" t="s">
        <v>28</v>
      </c>
      <c r="N355" s="2" t="s">
        <v>1048</v>
      </c>
      <c r="O355" s="2" t="s">
        <v>1063</v>
      </c>
      <c r="P355" t="s">
        <v>1079</v>
      </c>
      <c r="Q355">
        <v>2024</v>
      </c>
    </row>
    <row r="356" spans="1:17" hidden="1" x14ac:dyDescent="0.25">
      <c r="A356" s="1" t="s">
        <v>542</v>
      </c>
      <c r="B356" s="3">
        <v>45419</v>
      </c>
      <c r="C356" s="1" t="s">
        <v>543</v>
      </c>
      <c r="D356" s="1" t="s">
        <v>39</v>
      </c>
      <c r="E356" s="1" t="s">
        <v>71</v>
      </c>
      <c r="F356" s="2">
        <v>83.55</v>
      </c>
      <c r="G356" s="2" t="s">
        <v>72</v>
      </c>
      <c r="H356" s="2">
        <v>9</v>
      </c>
      <c r="I356" s="2">
        <v>751.94</v>
      </c>
      <c r="J356" s="2" t="s">
        <v>63</v>
      </c>
      <c r="K356" s="2" t="s">
        <v>34</v>
      </c>
      <c r="L356" s="2" t="s">
        <v>35</v>
      </c>
      <c r="M356" s="2" t="s">
        <v>52</v>
      </c>
      <c r="N356" s="2" t="s">
        <v>1057</v>
      </c>
      <c r="O356" s="2" t="s">
        <v>1053</v>
      </c>
      <c r="P356" t="s">
        <v>1079</v>
      </c>
      <c r="Q356">
        <v>2024</v>
      </c>
    </row>
    <row r="357" spans="1:17" x14ac:dyDescent="0.25">
      <c r="A357" s="1" t="s">
        <v>544</v>
      </c>
      <c r="B357" s="3">
        <v>45863</v>
      </c>
      <c r="C357" s="1" t="s">
        <v>290</v>
      </c>
      <c r="D357" s="1" t="s">
        <v>39</v>
      </c>
      <c r="E357" s="1" t="s">
        <v>45</v>
      </c>
      <c r="F357" s="2">
        <v>16.05</v>
      </c>
      <c r="G357" s="2" t="s">
        <v>72</v>
      </c>
      <c r="H357" s="2">
        <v>80</v>
      </c>
      <c r="I357" s="2">
        <v>1284.23</v>
      </c>
      <c r="J357" s="2" t="s">
        <v>18</v>
      </c>
      <c r="K357" s="2" t="s">
        <v>19</v>
      </c>
      <c r="L357" s="2" t="s">
        <v>47</v>
      </c>
      <c r="M357" s="2" t="s">
        <v>48</v>
      </c>
      <c r="N357" s="2" t="s">
        <v>1052</v>
      </c>
      <c r="O357" s="2" t="s">
        <v>1058</v>
      </c>
      <c r="P357" t="s">
        <v>1079</v>
      </c>
      <c r="Q357">
        <v>2025</v>
      </c>
    </row>
    <row r="358" spans="1:17" hidden="1" x14ac:dyDescent="0.25">
      <c r="A358" s="1" t="s">
        <v>545</v>
      </c>
      <c r="B358" s="3">
        <v>45315</v>
      </c>
      <c r="C358" s="1" t="s">
        <v>254</v>
      </c>
      <c r="D358" s="1" t="s">
        <v>31</v>
      </c>
      <c r="E358" s="1" t="s">
        <v>67</v>
      </c>
      <c r="F358" s="2">
        <v>297.27999999999997</v>
      </c>
      <c r="G358" s="2" t="s">
        <v>31</v>
      </c>
      <c r="H358" s="2">
        <v>7</v>
      </c>
      <c r="I358" s="2">
        <v>2080.9699999999998</v>
      </c>
      <c r="J358" s="2" t="s">
        <v>18</v>
      </c>
      <c r="K358" s="2" t="s">
        <v>34</v>
      </c>
      <c r="L358" s="2" t="s">
        <v>27</v>
      </c>
      <c r="M358" s="2" t="s">
        <v>28</v>
      </c>
      <c r="N358" s="2" t="s">
        <v>1050</v>
      </c>
      <c r="O358" s="2" t="s">
        <v>1059</v>
      </c>
      <c r="P358" t="s">
        <v>1079</v>
      </c>
      <c r="Q358">
        <v>2024</v>
      </c>
    </row>
    <row r="359" spans="1:17" hidden="1" x14ac:dyDescent="0.25">
      <c r="A359" s="1" t="s">
        <v>546</v>
      </c>
      <c r="B359" s="3">
        <v>45325</v>
      </c>
      <c r="C359" s="1" t="s">
        <v>156</v>
      </c>
      <c r="D359" s="1" t="s">
        <v>24</v>
      </c>
      <c r="E359" s="1" t="s">
        <v>16</v>
      </c>
      <c r="F359" s="2">
        <v>302.49</v>
      </c>
      <c r="G359" s="2" t="s">
        <v>170</v>
      </c>
      <c r="H359" s="2">
        <v>12</v>
      </c>
      <c r="I359" s="2">
        <v>3629.88</v>
      </c>
      <c r="J359" s="2" t="s">
        <v>18</v>
      </c>
      <c r="K359" s="2" t="s">
        <v>19</v>
      </c>
      <c r="L359" s="2" t="s">
        <v>47</v>
      </c>
      <c r="M359" s="2" t="s">
        <v>48</v>
      </c>
      <c r="N359" s="2" t="s">
        <v>1060</v>
      </c>
      <c r="O359" s="2" t="s">
        <v>1063</v>
      </c>
      <c r="P359" t="s">
        <v>1079</v>
      </c>
      <c r="Q359">
        <v>2024</v>
      </c>
    </row>
    <row r="360" spans="1:17" x14ac:dyDescent="0.25">
      <c r="A360" s="1" t="s">
        <v>547</v>
      </c>
      <c r="B360" s="3">
        <v>45845</v>
      </c>
      <c r="C360" s="1" t="s">
        <v>548</v>
      </c>
      <c r="D360" s="1" t="s">
        <v>55</v>
      </c>
      <c r="E360" s="1" t="s">
        <v>25</v>
      </c>
      <c r="F360" s="2">
        <v>57.16</v>
      </c>
      <c r="G360" s="2" t="s">
        <v>90</v>
      </c>
      <c r="H360" s="2">
        <v>17</v>
      </c>
      <c r="I360" s="2">
        <v>971.68</v>
      </c>
      <c r="J360" s="2" t="s">
        <v>18</v>
      </c>
      <c r="K360" s="2" t="s">
        <v>19</v>
      </c>
      <c r="L360" s="2" t="s">
        <v>35</v>
      </c>
      <c r="M360" s="2" t="s">
        <v>36</v>
      </c>
      <c r="N360" s="2" t="s">
        <v>1052</v>
      </c>
      <c r="O360" s="2" t="s">
        <v>1056</v>
      </c>
      <c r="P360" t="s">
        <v>1079</v>
      </c>
      <c r="Q360">
        <v>2025</v>
      </c>
    </row>
    <row r="361" spans="1:17" hidden="1" x14ac:dyDescent="0.25">
      <c r="A361" s="1" t="s">
        <v>549</v>
      </c>
      <c r="B361" s="3">
        <v>45513</v>
      </c>
      <c r="C361" s="1" t="s">
        <v>221</v>
      </c>
      <c r="D361" s="1" t="s">
        <v>15</v>
      </c>
      <c r="E361" s="1" t="s">
        <v>67</v>
      </c>
      <c r="F361" s="2">
        <v>107.45</v>
      </c>
      <c r="G361" s="2" t="s">
        <v>82</v>
      </c>
      <c r="H361" s="2">
        <v>11</v>
      </c>
      <c r="I361" s="2">
        <v>1181.98</v>
      </c>
      <c r="J361" s="2" t="s">
        <v>18</v>
      </c>
      <c r="K361" s="2" t="s">
        <v>19</v>
      </c>
      <c r="L361" s="2" t="s">
        <v>20</v>
      </c>
      <c r="M361" s="2" t="s">
        <v>64</v>
      </c>
      <c r="N361" s="2" t="s">
        <v>1051</v>
      </c>
      <c r="O361" s="2" t="s">
        <v>1058</v>
      </c>
      <c r="P361" t="s">
        <v>1079</v>
      </c>
      <c r="Q361">
        <v>2024</v>
      </c>
    </row>
    <row r="362" spans="1:17" hidden="1" x14ac:dyDescent="0.25">
      <c r="A362" s="1" t="s">
        <v>550</v>
      </c>
      <c r="B362" s="3">
        <v>45579</v>
      </c>
      <c r="C362" s="1" t="s">
        <v>114</v>
      </c>
      <c r="D362" s="1" t="s">
        <v>15</v>
      </c>
      <c r="E362" s="1" t="s">
        <v>16</v>
      </c>
      <c r="F362" s="2">
        <v>504.91</v>
      </c>
      <c r="G362" s="2" t="s">
        <v>62</v>
      </c>
      <c r="H362" s="2">
        <v>10</v>
      </c>
      <c r="I362" s="2">
        <v>166.2715</v>
      </c>
      <c r="J362" s="2" t="s">
        <v>18</v>
      </c>
      <c r="K362" s="2" t="s">
        <v>34</v>
      </c>
      <c r="L362" s="2" t="s">
        <v>27</v>
      </c>
      <c r="M362" s="2" t="s">
        <v>59</v>
      </c>
      <c r="N362" s="2" t="s">
        <v>1046</v>
      </c>
      <c r="O362" s="2" t="s">
        <v>1056</v>
      </c>
      <c r="P362" t="s">
        <v>1079</v>
      </c>
      <c r="Q362">
        <v>2024</v>
      </c>
    </row>
    <row r="363" spans="1:17" x14ac:dyDescent="0.25">
      <c r="A363" s="1" t="s">
        <v>551</v>
      </c>
      <c r="B363" s="3">
        <v>45873</v>
      </c>
      <c r="C363" s="1" t="s">
        <v>92</v>
      </c>
      <c r="D363" s="1" t="s">
        <v>15</v>
      </c>
      <c r="E363" s="1" t="s">
        <v>25</v>
      </c>
      <c r="F363" s="2">
        <v>134.57</v>
      </c>
      <c r="G363" s="2" t="s">
        <v>51</v>
      </c>
      <c r="H363" s="2">
        <v>7</v>
      </c>
      <c r="I363" s="2">
        <v>942</v>
      </c>
      <c r="J363" s="2" t="s">
        <v>18</v>
      </c>
      <c r="K363" s="2" t="s">
        <v>34</v>
      </c>
      <c r="L363" s="2" t="s">
        <v>27</v>
      </c>
      <c r="M363" s="2" t="s">
        <v>161</v>
      </c>
      <c r="N363" s="2" t="s">
        <v>1051</v>
      </c>
      <c r="O363" s="2" t="s">
        <v>1056</v>
      </c>
      <c r="P363" t="s">
        <v>1079</v>
      </c>
      <c r="Q363">
        <v>2025</v>
      </c>
    </row>
    <row r="364" spans="1:17" x14ac:dyDescent="0.25">
      <c r="A364" s="1" t="s">
        <v>552</v>
      </c>
      <c r="B364" s="3">
        <v>45774</v>
      </c>
      <c r="C364" s="1" t="s">
        <v>543</v>
      </c>
      <c r="D364" s="1" t="s">
        <v>24</v>
      </c>
      <c r="E364" s="1" t="s">
        <v>71</v>
      </c>
      <c r="F364" s="2">
        <v>174.91</v>
      </c>
      <c r="G364" s="2" t="s">
        <v>75</v>
      </c>
      <c r="H364" s="2">
        <v>8</v>
      </c>
      <c r="I364" s="2">
        <v>1399.31</v>
      </c>
      <c r="J364" s="2" t="s">
        <v>18</v>
      </c>
      <c r="K364" s="2" t="s">
        <v>34</v>
      </c>
      <c r="L364" s="2" t="s">
        <v>20</v>
      </c>
      <c r="M364" s="2" t="s">
        <v>88</v>
      </c>
      <c r="N364" s="2" t="s">
        <v>1048</v>
      </c>
      <c r="O364" s="2" t="s">
        <v>1055</v>
      </c>
      <c r="P364" t="s">
        <v>1079</v>
      </c>
      <c r="Q364">
        <v>2025</v>
      </c>
    </row>
    <row r="365" spans="1:17" x14ac:dyDescent="0.25">
      <c r="A365" s="1" t="s">
        <v>553</v>
      </c>
      <c r="B365" s="3">
        <v>45814</v>
      </c>
      <c r="C365" s="1" t="s">
        <v>453</v>
      </c>
      <c r="D365" s="1" t="s">
        <v>15</v>
      </c>
      <c r="E365" s="1" t="s">
        <v>71</v>
      </c>
      <c r="F365" s="2">
        <v>245.11</v>
      </c>
      <c r="G365" s="2" t="s">
        <v>51</v>
      </c>
      <c r="H365" s="2">
        <v>11</v>
      </c>
      <c r="I365" s="2">
        <v>2696.19</v>
      </c>
      <c r="J365" s="2" t="s">
        <v>18</v>
      </c>
      <c r="K365" s="2" t="s">
        <v>19</v>
      </c>
      <c r="L365" s="2" t="s">
        <v>41</v>
      </c>
      <c r="M365" s="2" t="s">
        <v>76</v>
      </c>
      <c r="N365" s="2" t="s">
        <v>1062</v>
      </c>
      <c r="O365" s="2" t="s">
        <v>1058</v>
      </c>
      <c r="P365" t="s">
        <v>1079</v>
      </c>
      <c r="Q365">
        <v>2025</v>
      </c>
    </row>
    <row r="366" spans="1:17" x14ac:dyDescent="0.25">
      <c r="A366" s="1" t="s">
        <v>554</v>
      </c>
      <c r="B366" s="3">
        <v>45662</v>
      </c>
      <c r="C366" s="1" t="s">
        <v>308</v>
      </c>
      <c r="D366" s="1" t="s">
        <v>15</v>
      </c>
      <c r="E366" s="1" t="s">
        <v>45</v>
      </c>
      <c r="F366" s="2">
        <v>166.09</v>
      </c>
      <c r="G366" s="2" t="s">
        <v>62</v>
      </c>
      <c r="H366" s="2">
        <v>12</v>
      </c>
      <c r="I366" s="2">
        <v>1993.04</v>
      </c>
      <c r="J366" s="2" t="s">
        <v>18</v>
      </c>
      <c r="K366" s="2" t="s">
        <v>19</v>
      </c>
      <c r="L366" s="2" t="s">
        <v>47</v>
      </c>
      <c r="M366" s="2" t="s">
        <v>48</v>
      </c>
      <c r="N366" s="2" t="s">
        <v>1050</v>
      </c>
      <c r="O366" s="2" t="s">
        <v>1055</v>
      </c>
      <c r="P366" t="s">
        <v>1079</v>
      </c>
      <c r="Q366">
        <v>2025</v>
      </c>
    </row>
    <row r="367" spans="1:17" x14ac:dyDescent="0.25">
      <c r="A367" s="1" t="s">
        <v>555</v>
      </c>
      <c r="B367" s="3">
        <v>45844</v>
      </c>
      <c r="C367" s="1" t="s">
        <v>95</v>
      </c>
      <c r="D367" s="1" t="s">
        <v>31</v>
      </c>
      <c r="E367" s="1" t="s">
        <v>45</v>
      </c>
      <c r="F367" s="2">
        <v>86.92</v>
      </c>
      <c r="G367" s="2" t="s">
        <v>31</v>
      </c>
      <c r="H367" s="2">
        <v>13</v>
      </c>
      <c r="I367" s="2">
        <v>1129.94</v>
      </c>
      <c r="J367" s="2" t="s">
        <v>63</v>
      </c>
      <c r="K367" s="2" t="s">
        <v>19</v>
      </c>
      <c r="L367" s="2" t="s">
        <v>41</v>
      </c>
      <c r="M367" s="2" t="s">
        <v>76</v>
      </c>
      <c r="N367" s="2" t="s">
        <v>1052</v>
      </c>
      <c r="O367" s="2" t="s">
        <v>1055</v>
      </c>
      <c r="P367" t="s">
        <v>1079</v>
      </c>
      <c r="Q367">
        <v>2025</v>
      </c>
    </row>
    <row r="368" spans="1:17" x14ac:dyDescent="0.25">
      <c r="A368" s="1" t="s">
        <v>556</v>
      </c>
      <c r="B368" s="3">
        <v>45732</v>
      </c>
      <c r="C368" s="1" t="s">
        <v>128</v>
      </c>
      <c r="D368" s="1" t="s">
        <v>55</v>
      </c>
      <c r="E368" s="1" t="s">
        <v>67</v>
      </c>
      <c r="F368" s="2">
        <v>228.16</v>
      </c>
      <c r="G368" s="2" t="s">
        <v>90</v>
      </c>
      <c r="H368" s="2">
        <v>9</v>
      </c>
      <c r="I368" s="2">
        <v>2053.4299999999998</v>
      </c>
      <c r="J368" s="2" t="s">
        <v>18</v>
      </c>
      <c r="K368" s="2" t="s">
        <v>34</v>
      </c>
      <c r="L368" s="2" t="s">
        <v>35</v>
      </c>
      <c r="M368" s="2" t="s">
        <v>52</v>
      </c>
      <c r="N368" s="2" t="s">
        <v>1054</v>
      </c>
      <c r="O368" s="2" t="s">
        <v>1055</v>
      </c>
      <c r="P368" t="s">
        <v>1079</v>
      </c>
      <c r="Q368">
        <v>2025</v>
      </c>
    </row>
    <row r="369" spans="1:17" x14ac:dyDescent="0.25">
      <c r="A369" s="1" t="s">
        <v>557</v>
      </c>
      <c r="B369" s="3">
        <v>45807</v>
      </c>
      <c r="C369" s="1" t="s">
        <v>281</v>
      </c>
      <c r="D369" s="1" t="s">
        <v>24</v>
      </c>
      <c r="E369" s="1" t="s">
        <v>67</v>
      </c>
      <c r="F369" s="2">
        <v>218.89</v>
      </c>
      <c r="G369" s="2" t="s">
        <v>68</v>
      </c>
      <c r="H369" s="2">
        <v>12</v>
      </c>
      <c r="I369" s="2">
        <v>2626.63</v>
      </c>
      <c r="J369" s="2" t="s">
        <v>18</v>
      </c>
      <c r="K369" s="2" t="s">
        <v>19</v>
      </c>
      <c r="L369" s="2" t="s">
        <v>35</v>
      </c>
      <c r="M369" s="2" t="s">
        <v>36</v>
      </c>
      <c r="N369" s="2" t="s">
        <v>1057</v>
      </c>
      <c r="O369" s="2" t="s">
        <v>1058</v>
      </c>
      <c r="P369" t="s">
        <v>1079</v>
      </c>
      <c r="Q369">
        <v>2025</v>
      </c>
    </row>
    <row r="370" spans="1:17" hidden="1" x14ac:dyDescent="0.25">
      <c r="A370" s="1" t="s">
        <v>558</v>
      </c>
      <c r="B370" s="3">
        <v>45438</v>
      </c>
      <c r="C370" s="1" t="s">
        <v>292</v>
      </c>
      <c r="D370" s="1" t="s">
        <v>24</v>
      </c>
      <c r="E370" s="1" t="s">
        <v>45</v>
      </c>
      <c r="F370" s="2">
        <v>194.52</v>
      </c>
      <c r="G370" s="2" t="s">
        <v>68</v>
      </c>
      <c r="H370" s="2">
        <v>13</v>
      </c>
      <c r="I370" s="2">
        <v>2528.8000000000002</v>
      </c>
      <c r="J370" s="2" t="s">
        <v>18</v>
      </c>
      <c r="K370" s="2" t="s">
        <v>19</v>
      </c>
      <c r="L370" s="2" t="s">
        <v>20</v>
      </c>
      <c r="M370" s="2" t="s">
        <v>21</v>
      </c>
      <c r="N370" s="2" t="s">
        <v>1057</v>
      </c>
      <c r="O370" s="2" t="s">
        <v>1055</v>
      </c>
      <c r="P370" t="s">
        <v>1079</v>
      </c>
      <c r="Q370">
        <v>2024</v>
      </c>
    </row>
    <row r="371" spans="1:17" hidden="1" x14ac:dyDescent="0.25">
      <c r="A371" s="1" t="s">
        <v>559</v>
      </c>
      <c r="B371" s="3">
        <v>45535</v>
      </c>
      <c r="C371" s="1" t="s">
        <v>95</v>
      </c>
      <c r="D371" s="1" t="s">
        <v>39</v>
      </c>
      <c r="E371" s="1" t="s">
        <v>16</v>
      </c>
      <c r="F371" s="2">
        <v>144</v>
      </c>
      <c r="G371" s="2" t="s">
        <v>40</v>
      </c>
      <c r="H371" s="2">
        <v>12</v>
      </c>
      <c r="I371" s="2">
        <v>1728</v>
      </c>
      <c r="J371" s="2" t="s">
        <v>33</v>
      </c>
      <c r="K371" s="2" t="s">
        <v>19</v>
      </c>
      <c r="L371" s="2" t="s">
        <v>27</v>
      </c>
      <c r="M371" s="2" t="s">
        <v>59</v>
      </c>
      <c r="N371" s="2" t="s">
        <v>1051</v>
      </c>
      <c r="O371" s="2" t="s">
        <v>1063</v>
      </c>
      <c r="P371" t="s">
        <v>1079</v>
      </c>
      <c r="Q371">
        <v>2024</v>
      </c>
    </row>
    <row r="372" spans="1:17" x14ac:dyDescent="0.25">
      <c r="A372" s="1" t="s">
        <v>560</v>
      </c>
      <c r="B372" s="3">
        <v>45866</v>
      </c>
      <c r="C372" s="1" t="s">
        <v>74</v>
      </c>
      <c r="D372" s="1" t="s">
        <v>15</v>
      </c>
      <c r="E372" s="1" t="s">
        <v>67</v>
      </c>
      <c r="F372" s="2">
        <v>530.15</v>
      </c>
      <c r="G372" s="2" t="s">
        <v>62</v>
      </c>
      <c r="H372" s="2">
        <v>13</v>
      </c>
      <c r="I372" s="2">
        <v>6892</v>
      </c>
      <c r="J372" s="2" t="s">
        <v>18</v>
      </c>
      <c r="K372" s="2" t="s">
        <v>19</v>
      </c>
      <c r="L372" s="2" t="s">
        <v>47</v>
      </c>
      <c r="M372" s="2" t="s">
        <v>153</v>
      </c>
      <c r="N372" s="2" t="s">
        <v>1052</v>
      </c>
      <c r="O372" s="2" t="s">
        <v>1056</v>
      </c>
      <c r="P372" t="s">
        <v>1078</v>
      </c>
      <c r="Q372">
        <v>2025</v>
      </c>
    </row>
    <row r="373" spans="1:17" x14ac:dyDescent="0.25">
      <c r="A373" s="1" t="s">
        <v>561</v>
      </c>
      <c r="B373" s="3">
        <v>45773</v>
      </c>
      <c r="C373" s="1" t="s">
        <v>286</v>
      </c>
      <c r="D373" s="1" t="s">
        <v>39</v>
      </c>
      <c r="E373" s="1" t="s">
        <v>67</v>
      </c>
      <c r="F373" s="2">
        <v>165.93</v>
      </c>
      <c r="G373" s="2" t="s">
        <v>93</v>
      </c>
      <c r="H373" s="2">
        <v>9</v>
      </c>
      <c r="I373" s="2">
        <v>1493.39</v>
      </c>
      <c r="J373" s="2" t="s">
        <v>63</v>
      </c>
      <c r="K373" s="2" t="s">
        <v>34</v>
      </c>
      <c r="L373" s="2" t="s">
        <v>35</v>
      </c>
      <c r="M373" s="2" t="s">
        <v>52</v>
      </c>
      <c r="N373" s="2" t="s">
        <v>1048</v>
      </c>
      <c r="O373" s="2" t="s">
        <v>1063</v>
      </c>
      <c r="P373" t="s">
        <v>1079</v>
      </c>
      <c r="Q373">
        <v>2025</v>
      </c>
    </row>
    <row r="374" spans="1:17" x14ac:dyDescent="0.25">
      <c r="A374" s="1" t="s">
        <v>562</v>
      </c>
      <c r="B374" s="3">
        <v>45834</v>
      </c>
      <c r="C374" s="1" t="s">
        <v>446</v>
      </c>
      <c r="D374" s="1" t="s">
        <v>31</v>
      </c>
      <c r="E374" s="1" t="s">
        <v>67</v>
      </c>
      <c r="F374" s="2">
        <v>86.57</v>
      </c>
      <c r="G374" s="2" t="s">
        <v>31</v>
      </c>
      <c r="H374" s="2">
        <v>14</v>
      </c>
      <c r="I374" s="2">
        <v>1212</v>
      </c>
      <c r="J374" s="2" t="s">
        <v>63</v>
      </c>
      <c r="K374" s="2" t="s">
        <v>19</v>
      </c>
      <c r="L374" s="2" t="s">
        <v>20</v>
      </c>
      <c r="M374" s="2" t="s">
        <v>21</v>
      </c>
      <c r="N374" s="2" t="s">
        <v>1062</v>
      </c>
      <c r="O374" s="2" t="s">
        <v>1047</v>
      </c>
      <c r="P374" t="s">
        <v>1079</v>
      </c>
      <c r="Q374">
        <v>2025</v>
      </c>
    </row>
    <row r="375" spans="1:17" hidden="1" x14ac:dyDescent="0.25">
      <c r="A375" s="1" t="s">
        <v>563</v>
      </c>
      <c r="B375" s="3">
        <v>45647</v>
      </c>
      <c r="C375" s="1" t="s">
        <v>104</v>
      </c>
      <c r="D375" s="1" t="s">
        <v>39</v>
      </c>
      <c r="E375" s="1" t="s">
        <v>16</v>
      </c>
      <c r="F375" s="2">
        <v>78.239999999999995</v>
      </c>
      <c r="G375" s="2" t="s">
        <v>93</v>
      </c>
      <c r="H375" s="2">
        <v>11</v>
      </c>
      <c r="I375" s="2">
        <v>860.61</v>
      </c>
      <c r="J375" s="2" t="s">
        <v>63</v>
      </c>
      <c r="K375" s="2" t="s">
        <v>19</v>
      </c>
      <c r="L375" s="2" t="s">
        <v>41</v>
      </c>
      <c r="M375" s="2" t="s">
        <v>42</v>
      </c>
      <c r="N375" s="2" t="s">
        <v>1061</v>
      </c>
      <c r="O375" s="2" t="s">
        <v>1063</v>
      </c>
      <c r="P375" t="s">
        <v>1079</v>
      </c>
      <c r="Q375">
        <v>2024</v>
      </c>
    </row>
    <row r="376" spans="1:17" x14ac:dyDescent="0.25">
      <c r="A376" s="1" t="s">
        <v>564</v>
      </c>
      <c r="B376" s="3">
        <v>45896</v>
      </c>
      <c r="C376" s="1" t="s">
        <v>565</v>
      </c>
      <c r="D376" s="1" t="s">
        <v>55</v>
      </c>
      <c r="E376" s="1" t="s">
        <v>71</v>
      </c>
      <c r="F376" s="2">
        <v>159.56</v>
      </c>
      <c r="G376" s="2" t="s">
        <v>90</v>
      </c>
      <c r="H376" s="2">
        <v>16</v>
      </c>
      <c r="I376" s="2">
        <v>2553</v>
      </c>
      <c r="J376" s="2" t="s">
        <v>33</v>
      </c>
      <c r="K376" s="2" t="s">
        <v>19</v>
      </c>
      <c r="L376" s="2" t="s">
        <v>35</v>
      </c>
      <c r="M376" s="2" t="s">
        <v>126</v>
      </c>
      <c r="N376" s="2" t="s">
        <v>1051</v>
      </c>
      <c r="O376" s="2" t="s">
        <v>1059</v>
      </c>
      <c r="P376" t="s">
        <v>1079</v>
      </c>
      <c r="Q376">
        <v>2025</v>
      </c>
    </row>
    <row r="377" spans="1:17" hidden="1" x14ac:dyDescent="0.25">
      <c r="A377" s="1" t="s">
        <v>566</v>
      </c>
      <c r="B377" s="3">
        <v>45647</v>
      </c>
      <c r="C377" s="1" t="s">
        <v>381</v>
      </c>
      <c r="D377" s="1" t="s">
        <v>24</v>
      </c>
      <c r="E377" s="1" t="s">
        <v>67</v>
      </c>
      <c r="F377" s="2">
        <v>239.92</v>
      </c>
      <c r="G377" s="2" t="s">
        <v>75</v>
      </c>
      <c r="H377" s="2">
        <v>6</v>
      </c>
      <c r="I377" s="2">
        <v>1439.54</v>
      </c>
      <c r="J377" s="2" t="s">
        <v>18</v>
      </c>
      <c r="K377" s="2" t="s">
        <v>34</v>
      </c>
      <c r="L377" s="2" t="s">
        <v>27</v>
      </c>
      <c r="M377" s="2" t="s">
        <v>59</v>
      </c>
      <c r="N377" s="2" t="s">
        <v>1061</v>
      </c>
      <c r="O377" s="2" t="s">
        <v>1063</v>
      </c>
      <c r="P377" t="s">
        <v>1079</v>
      </c>
      <c r="Q377">
        <v>2024</v>
      </c>
    </row>
    <row r="378" spans="1:17" hidden="1" x14ac:dyDescent="0.25">
      <c r="A378" s="1" t="s">
        <v>567</v>
      </c>
      <c r="B378" s="3">
        <v>45517</v>
      </c>
      <c r="C378" s="1" t="s">
        <v>353</v>
      </c>
      <c r="D378" s="1" t="s">
        <v>39</v>
      </c>
      <c r="E378" s="1" t="s">
        <v>45</v>
      </c>
      <c r="F378" s="2">
        <v>102.73</v>
      </c>
      <c r="G378" s="2" t="s">
        <v>40</v>
      </c>
      <c r="H378" s="2">
        <v>10</v>
      </c>
      <c r="I378" s="2">
        <v>1027.3399999999999</v>
      </c>
      <c r="J378" s="2" t="s">
        <v>63</v>
      </c>
      <c r="K378" s="2" t="s">
        <v>34</v>
      </c>
      <c r="L378" s="2" t="s">
        <v>35</v>
      </c>
      <c r="M378" s="2" t="s">
        <v>126</v>
      </c>
      <c r="N378" s="2" t="s">
        <v>1051</v>
      </c>
      <c r="O378" s="2" t="s">
        <v>1053</v>
      </c>
      <c r="P378" t="s">
        <v>1079</v>
      </c>
      <c r="Q378">
        <v>2024</v>
      </c>
    </row>
    <row r="379" spans="1:17" hidden="1" x14ac:dyDescent="0.25">
      <c r="A379" s="1" t="s">
        <v>568</v>
      </c>
      <c r="B379" s="3">
        <v>45370</v>
      </c>
      <c r="C379" s="1" t="s">
        <v>121</v>
      </c>
      <c r="D379" s="1" t="s">
        <v>31</v>
      </c>
      <c r="E379" s="1" t="s">
        <v>67</v>
      </c>
      <c r="F379" s="2">
        <v>572.29999999999995</v>
      </c>
      <c r="G379" s="2" t="s">
        <v>32</v>
      </c>
      <c r="H379" s="2">
        <v>9</v>
      </c>
      <c r="I379" s="2">
        <v>5150.68</v>
      </c>
      <c r="J379" s="2" t="s">
        <v>18</v>
      </c>
      <c r="K379" s="2" t="s">
        <v>19</v>
      </c>
      <c r="L379" s="2" t="s">
        <v>27</v>
      </c>
      <c r="M379" s="2" t="s">
        <v>28</v>
      </c>
      <c r="N379" s="2" t="s">
        <v>1054</v>
      </c>
      <c r="O379" s="2" t="s">
        <v>1053</v>
      </c>
      <c r="P379" t="s">
        <v>1078</v>
      </c>
      <c r="Q379">
        <v>2024</v>
      </c>
    </row>
    <row r="380" spans="1:17" x14ac:dyDescent="0.25">
      <c r="A380" s="1" t="s">
        <v>569</v>
      </c>
      <c r="B380" s="3">
        <v>45660</v>
      </c>
      <c r="C380" s="1" t="s">
        <v>160</v>
      </c>
      <c r="D380" s="1" t="s">
        <v>39</v>
      </c>
      <c r="E380" s="1" t="s">
        <v>67</v>
      </c>
      <c r="F380" s="2">
        <v>76.11</v>
      </c>
      <c r="G380" s="2" t="s">
        <v>72</v>
      </c>
      <c r="H380" s="2">
        <v>19</v>
      </c>
      <c r="I380" s="2">
        <v>1446</v>
      </c>
      <c r="J380" s="2" t="s">
        <v>18</v>
      </c>
      <c r="K380" s="2" t="s">
        <v>19</v>
      </c>
      <c r="L380" s="2" t="s">
        <v>27</v>
      </c>
      <c r="M380" s="2" t="s">
        <v>59</v>
      </c>
      <c r="N380" s="2" t="s">
        <v>1050</v>
      </c>
      <c r="O380" s="2" t="s">
        <v>1058</v>
      </c>
      <c r="P380" t="s">
        <v>1079</v>
      </c>
      <c r="Q380">
        <v>2025</v>
      </c>
    </row>
    <row r="381" spans="1:17" hidden="1" x14ac:dyDescent="0.25">
      <c r="A381" s="1" t="s">
        <v>570</v>
      </c>
      <c r="B381" s="3">
        <v>45522</v>
      </c>
      <c r="C381" s="1" t="s">
        <v>158</v>
      </c>
      <c r="D381" s="1" t="s">
        <v>24</v>
      </c>
      <c r="E381" s="1" t="s">
        <v>67</v>
      </c>
      <c r="F381" s="2">
        <v>231.96</v>
      </c>
      <c r="G381" s="2" t="s">
        <v>26</v>
      </c>
      <c r="H381" s="2">
        <v>12</v>
      </c>
      <c r="I381" s="2">
        <v>2783.46</v>
      </c>
      <c r="J381" s="2" t="s">
        <v>18</v>
      </c>
      <c r="K381" s="2" t="s">
        <v>19</v>
      </c>
      <c r="L381" s="2" t="s">
        <v>47</v>
      </c>
      <c r="M381" s="2" t="s">
        <v>85</v>
      </c>
      <c r="N381" s="2" t="s">
        <v>1051</v>
      </c>
      <c r="O381" s="2" t="s">
        <v>1055</v>
      </c>
      <c r="P381" t="s">
        <v>1079</v>
      </c>
      <c r="Q381">
        <v>2024</v>
      </c>
    </row>
    <row r="382" spans="1:17" x14ac:dyDescent="0.25">
      <c r="A382" s="1" t="s">
        <v>571</v>
      </c>
      <c r="B382" s="3">
        <v>45954</v>
      </c>
      <c r="C382" s="1" t="s">
        <v>446</v>
      </c>
      <c r="D382" s="1" t="s">
        <v>55</v>
      </c>
      <c r="E382" s="1" t="s">
        <v>45</v>
      </c>
      <c r="F382" s="2">
        <v>1038.3699999999999</v>
      </c>
      <c r="G382" s="2" t="s">
        <v>90</v>
      </c>
      <c r="H382" s="2">
        <v>1</v>
      </c>
      <c r="I382" s="2">
        <v>1038.3699999999999</v>
      </c>
      <c r="J382" s="2" t="s">
        <v>18</v>
      </c>
      <c r="K382" s="2" t="s">
        <v>34</v>
      </c>
      <c r="L382" s="2" t="s">
        <v>20</v>
      </c>
      <c r="M382" s="2" t="s">
        <v>64</v>
      </c>
      <c r="N382" s="2" t="s">
        <v>1046</v>
      </c>
      <c r="O382" s="2" t="s">
        <v>1058</v>
      </c>
      <c r="P382" t="s">
        <v>1079</v>
      </c>
      <c r="Q382">
        <v>2025</v>
      </c>
    </row>
    <row r="383" spans="1:17" x14ac:dyDescent="0.25">
      <c r="A383" s="1" t="s">
        <v>572</v>
      </c>
      <c r="B383" s="3">
        <v>45929</v>
      </c>
      <c r="C383" s="1" t="s">
        <v>573</v>
      </c>
      <c r="D383" s="1" t="s">
        <v>39</v>
      </c>
      <c r="E383" s="1" t="s">
        <v>45</v>
      </c>
      <c r="F383" s="2">
        <v>163.52000000000001</v>
      </c>
      <c r="G383" s="2" t="s">
        <v>1083</v>
      </c>
      <c r="H383" s="2">
        <v>11</v>
      </c>
      <c r="I383" s="2">
        <v>1798.74</v>
      </c>
      <c r="J383" s="2" t="s">
        <v>18</v>
      </c>
      <c r="K383" s="2" t="s">
        <v>19</v>
      </c>
      <c r="L383" s="2" t="s">
        <v>27</v>
      </c>
      <c r="M383" s="2" t="s">
        <v>28</v>
      </c>
      <c r="N383" s="2" t="s">
        <v>1049</v>
      </c>
      <c r="O383" s="2" t="s">
        <v>1056</v>
      </c>
      <c r="P383" t="s">
        <v>1079</v>
      </c>
      <c r="Q383">
        <v>2025</v>
      </c>
    </row>
    <row r="384" spans="1:17" hidden="1" x14ac:dyDescent="0.25">
      <c r="A384" s="1" t="s">
        <v>574</v>
      </c>
      <c r="B384" s="3">
        <v>45442</v>
      </c>
      <c r="C384" s="1" t="s">
        <v>143</v>
      </c>
      <c r="D384" s="1" t="s">
        <v>55</v>
      </c>
      <c r="E384" s="1" t="s">
        <v>45</v>
      </c>
      <c r="F384" s="2">
        <v>246.43</v>
      </c>
      <c r="G384" s="2" t="s">
        <v>148</v>
      </c>
      <c r="H384" s="2">
        <v>8</v>
      </c>
      <c r="I384" s="2">
        <v>1971.4</v>
      </c>
      <c r="J384" s="2" t="s">
        <v>63</v>
      </c>
      <c r="K384" s="2" t="s">
        <v>34</v>
      </c>
      <c r="L384" s="2" t="s">
        <v>47</v>
      </c>
      <c r="M384" s="2" t="s">
        <v>85</v>
      </c>
      <c r="N384" s="2" t="s">
        <v>1057</v>
      </c>
      <c r="O384" s="2" t="s">
        <v>1047</v>
      </c>
      <c r="P384" t="s">
        <v>1079</v>
      </c>
      <c r="Q384">
        <v>2024</v>
      </c>
    </row>
    <row r="385" spans="1:17" x14ac:dyDescent="0.25">
      <c r="A385" s="1" t="s">
        <v>575</v>
      </c>
      <c r="B385" s="3">
        <v>45708</v>
      </c>
      <c r="C385" s="1" t="s">
        <v>204</v>
      </c>
      <c r="D385" s="1" t="s">
        <v>31</v>
      </c>
      <c r="E385" s="1" t="s">
        <v>67</v>
      </c>
      <c r="F385" s="2">
        <v>107.78</v>
      </c>
      <c r="G385" s="2" t="s">
        <v>32</v>
      </c>
      <c r="H385" s="2">
        <v>11</v>
      </c>
      <c r="I385" s="2">
        <v>1185.58</v>
      </c>
      <c r="J385" s="2" t="s">
        <v>63</v>
      </c>
      <c r="K385" s="2" t="s">
        <v>19</v>
      </c>
      <c r="L385" s="2" t="s">
        <v>41</v>
      </c>
      <c r="M385" s="2" t="s">
        <v>42</v>
      </c>
      <c r="N385" s="2" t="s">
        <v>1060</v>
      </c>
      <c r="O385" s="2" t="s">
        <v>1047</v>
      </c>
      <c r="P385" t="s">
        <v>1079</v>
      </c>
      <c r="Q385">
        <v>2025</v>
      </c>
    </row>
    <row r="386" spans="1:17" x14ac:dyDescent="0.25">
      <c r="A386" s="1" t="s">
        <v>576</v>
      </c>
      <c r="B386" s="3">
        <v>45949</v>
      </c>
      <c r="C386" s="1" t="s">
        <v>400</v>
      </c>
      <c r="D386" s="1" t="s">
        <v>24</v>
      </c>
      <c r="E386" s="1" t="s">
        <v>67</v>
      </c>
      <c r="F386" s="2">
        <v>227.54</v>
      </c>
      <c r="G386" s="2" t="s">
        <v>75</v>
      </c>
      <c r="H386" s="2">
        <v>14</v>
      </c>
      <c r="I386" s="2">
        <v>3185.58</v>
      </c>
      <c r="J386" s="2" t="s">
        <v>18</v>
      </c>
      <c r="K386" s="2" t="s">
        <v>19</v>
      </c>
      <c r="L386" s="2" t="s">
        <v>27</v>
      </c>
      <c r="M386" s="2" t="s">
        <v>28</v>
      </c>
      <c r="N386" s="2" t="s">
        <v>1046</v>
      </c>
      <c r="O386" s="2" t="s">
        <v>1055</v>
      </c>
      <c r="P386" t="s">
        <v>1079</v>
      </c>
      <c r="Q386">
        <v>2025</v>
      </c>
    </row>
    <row r="387" spans="1:17" x14ac:dyDescent="0.25">
      <c r="A387" s="1" t="s">
        <v>577</v>
      </c>
      <c r="B387" s="3">
        <v>45779</v>
      </c>
      <c r="C387" s="1" t="s">
        <v>110</v>
      </c>
      <c r="D387" s="1" t="s">
        <v>24</v>
      </c>
      <c r="E387" s="1" t="s">
        <v>16</v>
      </c>
      <c r="F387" s="2">
        <v>54.74</v>
      </c>
      <c r="G387" s="2" t="s">
        <v>68</v>
      </c>
      <c r="H387" s="2">
        <v>19</v>
      </c>
      <c r="I387" s="2">
        <v>1040</v>
      </c>
      <c r="J387" s="2" t="s">
        <v>18</v>
      </c>
      <c r="K387" s="2" t="s">
        <v>19</v>
      </c>
      <c r="L387" s="2" t="s">
        <v>35</v>
      </c>
      <c r="M387" s="2" t="s">
        <v>126</v>
      </c>
      <c r="N387" s="2" t="s">
        <v>1057</v>
      </c>
      <c r="O387" s="2" t="s">
        <v>1058</v>
      </c>
      <c r="P387" t="s">
        <v>1079</v>
      </c>
      <c r="Q387">
        <v>2025</v>
      </c>
    </row>
    <row r="388" spans="1:17" hidden="1" x14ac:dyDescent="0.25">
      <c r="A388" s="1" t="s">
        <v>578</v>
      </c>
      <c r="B388" s="3">
        <v>45614</v>
      </c>
      <c r="C388" s="1" t="s">
        <v>116</v>
      </c>
      <c r="D388" s="1" t="s">
        <v>15</v>
      </c>
      <c r="E388" s="1" t="s">
        <v>71</v>
      </c>
      <c r="F388" s="2">
        <v>603.98</v>
      </c>
      <c r="G388" s="2" t="s">
        <v>51</v>
      </c>
      <c r="H388" s="2">
        <v>6</v>
      </c>
      <c r="I388" s="2">
        <v>3623.9</v>
      </c>
      <c r="J388" s="2" t="s">
        <v>63</v>
      </c>
      <c r="K388" s="2" t="s">
        <v>19</v>
      </c>
      <c r="L388" s="2" t="s">
        <v>35</v>
      </c>
      <c r="M388" s="2" t="s">
        <v>36</v>
      </c>
      <c r="N388" s="2" t="s">
        <v>1064</v>
      </c>
      <c r="O388" s="2" t="s">
        <v>1056</v>
      </c>
      <c r="P388" t="s">
        <v>1079</v>
      </c>
      <c r="Q388">
        <v>2024</v>
      </c>
    </row>
    <row r="389" spans="1:17" x14ac:dyDescent="0.25">
      <c r="A389" s="1" t="s">
        <v>579</v>
      </c>
      <c r="B389" s="3">
        <v>45701</v>
      </c>
      <c r="C389" s="1" t="s">
        <v>439</v>
      </c>
      <c r="D389" s="1" t="s">
        <v>39</v>
      </c>
      <c r="E389" s="1" t="s">
        <v>16</v>
      </c>
      <c r="F389" s="2">
        <v>105.92</v>
      </c>
      <c r="G389" s="2" t="s">
        <v>136</v>
      </c>
      <c r="H389" s="2">
        <v>15</v>
      </c>
      <c r="I389" s="2">
        <v>1588.81</v>
      </c>
      <c r="J389" s="2" t="s">
        <v>63</v>
      </c>
      <c r="K389" s="2" t="s">
        <v>19</v>
      </c>
      <c r="L389" s="2" t="s">
        <v>35</v>
      </c>
      <c r="M389" s="2" t="s">
        <v>36</v>
      </c>
      <c r="N389" s="2" t="s">
        <v>1060</v>
      </c>
      <c r="O389" s="2" t="s">
        <v>1047</v>
      </c>
      <c r="P389" t="s">
        <v>1079</v>
      </c>
      <c r="Q389">
        <v>2025</v>
      </c>
    </row>
    <row r="390" spans="1:17" x14ac:dyDescent="0.25">
      <c r="A390" s="1" t="s">
        <v>580</v>
      </c>
      <c r="B390" s="3">
        <v>45770</v>
      </c>
      <c r="C390" s="1" t="s">
        <v>74</v>
      </c>
      <c r="D390" s="1" t="s">
        <v>39</v>
      </c>
      <c r="E390" s="1" t="s">
        <v>67</v>
      </c>
      <c r="F390" s="2">
        <v>136.51</v>
      </c>
      <c r="G390" s="2" t="s">
        <v>40</v>
      </c>
      <c r="H390" s="2">
        <v>9</v>
      </c>
      <c r="I390" s="2">
        <v>1228.6199999999999</v>
      </c>
      <c r="J390" s="2" t="s">
        <v>18</v>
      </c>
      <c r="K390" s="2" t="s">
        <v>34</v>
      </c>
      <c r="L390" s="2" t="s">
        <v>47</v>
      </c>
      <c r="M390" s="2" t="s">
        <v>85</v>
      </c>
      <c r="N390" s="2" t="s">
        <v>1048</v>
      </c>
      <c r="O390" s="2" t="s">
        <v>1059</v>
      </c>
      <c r="P390" t="s">
        <v>1079</v>
      </c>
      <c r="Q390">
        <v>2025</v>
      </c>
    </row>
    <row r="391" spans="1:17" x14ac:dyDescent="0.25">
      <c r="A391" s="1" t="s">
        <v>581</v>
      </c>
      <c r="B391" s="3">
        <v>45727</v>
      </c>
      <c r="C391" s="1" t="s">
        <v>23</v>
      </c>
      <c r="D391" s="1" t="s">
        <v>15</v>
      </c>
      <c r="E391" s="1" t="s">
        <v>67</v>
      </c>
      <c r="F391" s="2">
        <v>264.05</v>
      </c>
      <c r="G391" s="2" t="s">
        <v>51</v>
      </c>
      <c r="H391" s="2">
        <v>11</v>
      </c>
      <c r="I391" s="2">
        <v>2904.51</v>
      </c>
      <c r="J391" s="2" t="s">
        <v>18</v>
      </c>
      <c r="K391" s="2" t="s">
        <v>19</v>
      </c>
      <c r="L391" s="2" t="s">
        <v>27</v>
      </c>
      <c r="M391" s="2" t="s">
        <v>161</v>
      </c>
      <c r="N391" s="2" t="s">
        <v>1054</v>
      </c>
      <c r="O391" s="2" t="s">
        <v>1053</v>
      </c>
      <c r="P391" t="s">
        <v>1079</v>
      </c>
      <c r="Q391">
        <v>2025</v>
      </c>
    </row>
    <row r="392" spans="1:17" x14ac:dyDescent="0.25">
      <c r="A392" s="1" t="s">
        <v>582</v>
      </c>
      <c r="B392" s="3">
        <v>45756</v>
      </c>
      <c r="C392" s="1" t="s">
        <v>284</v>
      </c>
      <c r="D392" s="1" t="s">
        <v>55</v>
      </c>
      <c r="E392" s="1" t="s">
        <v>45</v>
      </c>
      <c r="F392" s="2">
        <v>59.15</v>
      </c>
      <c r="G392" s="2" t="s">
        <v>79</v>
      </c>
      <c r="H392" s="2">
        <v>61</v>
      </c>
      <c r="I392" s="2">
        <v>3608.16</v>
      </c>
      <c r="J392" s="2" t="s">
        <v>63</v>
      </c>
      <c r="K392" s="2" t="s">
        <v>19</v>
      </c>
      <c r="L392" s="2" t="s">
        <v>27</v>
      </c>
      <c r="M392" s="2" t="s">
        <v>161</v>
      </c>
      <c r="N392" s="2" t="s">
        <v>1048</v>
      </c>
      <c r="O392" s="2" t="s">
        <v>1059</v>
      </c>
      <c r="P392" t="s">
        <v>1079</v>
      </c>
      <c r="Q392">
        <v>2025</v>
      </c>
    </row>
    <row r="393" spans="1:17" x14ac:dyDescent="0.25">
      <c r="A393" s="1" t="s">
        <v>583</v>
      </c>
      <c r="B393" s="3">
        <v>45924</v>
      </c>
      <c r="C393" s="1" t="s">
        <v>286</v>
      </c>
      <c r="D393" s="1" t="s">
        <v>15</v>
      </c>
      <c r="E393" s="1" t="s">
        <v>25</v>
      </c>
      <c r="F393" s="2">
        <v>516.19000000000005</v>
      </c>
      <c r="G393" s="2" t="s">
        <v>17</v>
      </c>
      <c r="H393" s="2">
        <v>8</v>
      </c>
      <c r="I393" s="2">
        <v>4129.5</v>
      </c>
      <c r="J393" s="2" t="s">
        <v>33</v>
      </c>
      <c r="K393" s="2" t="s">
        <v>19</v>
      </c>
      <c r="L393" s="2" t="s">
        <v>47</v>
      </c>
      <c r="M393" s="2" t="s">
        <v>48</v>
      </c>
      <c r="N393" s="2" t="s">
        <v>1049</v>
      </c>
      <c r="O393" s="2" t="s">
        <v>1059</v>
      </c>
      <c r="P393" t="s">
        <v>1078</v>
      </c>
      <c r="Q393">
        <v>2025</v>
      </c>
    </row>
    <row r="394" spans="1:17" hidden="1" x14ac:dyDescent="0.25">
      <c r="A394" s="1" t="s">
        <v>584</v>
      </c>
      <c r="B394" s="3">
        <v>45471</v>
      </c>
      <c r="C394" s="1" t="s">
        <v>70</v>
      </c>
      <c r="D394" s="1" t="s">
        <v>31</v>
      </c>
      <c r="E394" s="1" t="s">
        <v>71</v>
      </c>
      <c r="F394" s="2">
        <v>159.19</v>
      </c>
      <c r="G394" s="2" t="s">
        <v>98</v>
      </c>
      <c r="H394" s="2">
        <v>13</v>
      </c>
      <c r="I394" s="2">
        <v>2069.4699999999998</v>
      </c>
      <c r="J394" s="2" t="s">
        <v>18</v>
      </c>
      <c r="K394" s="2" t="s">
        <v>19</v>
      </c>
      <c r="L394" s="2" t="s">
        <v>41</v>
      </c>
      <c r="M394" s="2" t="s">
        <v>76</v>
      </c>
      <c r="N394" s="2" t="s">
        <v>1062</v>
      </c>
      <c r="O394" s="2" t="s">
        <v>1058</v>
      </c>
      <c r="P394" t="s">
        <v>1079</v>
      </c>
      <c r="Q394">
        <v>2024</v>
      </c>
    </row>
    <row r="395" spans="1:17" hidden="1" x14ac:dyDescent="0.25">
      <c r="A395" s="1" t="s">
        <v>585</v>
      </c>
      <c r="B395" s="3">
        <v>45417</v>
      </c>
      <c r="C395" s="1" t="s">
        <v>462</v>
      </c>
      <c r="D395" s="1" t="s">
        <v>24</v>
      </c>
      <c r="E395" s="1" t="s">
        <v>45</v>
      </c>
      <c r="F395" s="2">
        <v>328.51</v>
      </c>
      <c r="G395" s="2" t="s">
        <v>68</v>
      </c>
      <c r="H395" s="2">
        <v>11</v>
      </c>
      <c r="I395" s="2">
        <v>3613.63</v>
      </c>
      <c r="J395" s="2" t="s">
        <v>18</v>
      </c>
      <c r="K395" s="2" t="s">
        <v>19</v>
      </c>
      <c r="L395" s="2" t="s">
        <v>27</v>
      </c>
      <c r="M395" s="2" t="s">
        <v>59</v>
      </c>
      <c r="N395" s="2" t="s">
        <v>1057</v>
      </c>
      <c r="O395" s="2" t="s">
        <v>1055</v>
      </c>
      <c r="P395" t="s">
        <v>1079</v>
      </c>
      <c r="Q395">
        <v>2024</v>
      </c>
    </row>
    <row r="396" spans="1:17" hidden="1" x14ac:dyDescent="0.25">
      <c r="A396" s="1" t="s">
        <v>586</v>
      </c>
      <c r="B396" s="3">
        <v>45324</v>
      </c>
      <c r="C396" s="1" t="s">
        <v>95</v>
      </c>
      <c r="D396" s="1" t="s">
        <v>31</v>
      </c>
      <c r="E396" s="1" t="s">
        <v>71</v>
      </c>
      <c r="F396" s="2">
        <v>84.73</v>
      </c>
      <c r="G396" s="2" t="s">
        <v>31</v>
      </c>
      <c r="H396" s="2">
        <v>13</v>
      </c>
      <c r="I396" s="2">
        <v>1101.43</v>
      </c>
      <c r="J396" s="2" t="s">
        <v>63</v>
      </c>
      <c r="K396" s="2" t="s">
        <v>19</v>
      </c>
      <c r="L396" s="2" t="s">
        <v>35</v>
      </c>
      <c r="M396" s="2" t="s">
        <v>126</v>
      </c>
      <c r="N396" s="2" t="s">
        <v>1060</v>
      </c>
      <c r="O396" s="2" t="s">
        <v>1058</v>
      </c>
      <c r="P396" t="s">
        <v>1079</v>
      </c>
      <c r="Q396">
        <v>2024</v>
      </c>
    </row>
    <row r="397" spans="1:17" x14ac:dyDescent="0.25">
      <c r="A397" s="1" t="s">
        <v>587</v>
      </c>
      <c r="B397" s="3">
        <v>45782</v>
      </c>
      <c r="C397" s="1" t="s">
        <v>121</v>
      </c>
      <c r="D397" s="1" t="s">
        <v>24</v>
      </c>
      <c r="E397" s="1" t="s">
        <v>45</v>
      </c>
      <c r="F397" s="2">
        <v>552.01</v>
      </c>
      <c r="G397" s="2" t="s">
        <v>75</v>
      </c>
      <c r="H397" s="2">
        <v>12</v>
      </c>
      <c r="I397" s="2">
        <v>6624.12</v>
      </c>
      <c r="J397" s="2" t="s">
        <v>33</v>
      </c>
      <c r="K397" s="2" t="s">
        <v>19</v>
      </c>
      <c r="L397" s="2" t="s">
        <v>35</v>
      </c>
      <c r="M397" s="2" t="s">
        <v>52</v>
      </c>
      <c r="N397" s="2" t="s">
        <v>1057</v>
      </c>
      <c r="O397" s="2" t="s">
        <v>1056</v>
      </c>
      <c r="P397" t="s">
        <v>1078</v>
      </c>
      <c r="Q397">
        <v>2025</v>
      </c>
    </row>
    <row r="398" spans="1:17" x14ac:dyDescent="0.25">
      <c r="A398" s="1" t="s">
        <v>588</v>
      </c>
      <c r="B398" s="3">
        <v>45675</v>
      </c>
      <c r="C398" s="1" t="s">
        <v>167</v>
      </c>
      <c r="D398" s="1" t="s">
        <v>55</v>
      </c>
      <c r="E398" s="1" t="s">
        <v>25</v>
      </c>
      <c r="F398" s="2">
        <v>169.59</v>
      </c>
      <c r="G398" s="2" t="s">
        <v>90</v>
      </c>
      <c r="H398" s="2">
        <v>11</v>
      </c>
      <c r="I398" s="2">
        <v>1865.52</v>
      </c>
      <c r="J398" s="2" t="s">
        <v>18</v>
      </c>
      <c r="K398" s="2" t="s">
        <v>19</v>
      </c>
      <c r="L398" s="2" t="s">
        <v>35</v>
      </c>
      <c r="M398" s="2" t="s">
        <v>36</v>
      </c>
      <c r="N398" s="2" t="s">
        <v>1050</v>
      </c>
      <c r="O398" s="2" t="s">
        <v>1063</v>
      </c>
      <c r="P398" t="s">
        <v>1079</v>
      </c>
      <c r="Q398">
        <v>2025</v>
      </c>
    </row>
    <row r="399" spans="1:17" x14ac:dyDescent="0.25">
      <c r="A399" s="1" t="s">
        <v>589</v>
      </c>
      <c r="B399" s="3">
        <v>45823</v>
      </c>
      <c r="C399" s="1" t="s">
        <v>61</v>
      </c>
      <c r="D399" s="1" t="s">
        <v>15</v>
      </c>
      <c r="E399" s="1" t="s">
        <v>25</v>
      </c>
      <c r="F399" s="2">
        <v>626.66</v>
      </c>
      <c r="G399" s="2" t="s">
        <v>62</v>
      </c>
      <c r="H399" s="2">
        <v>1</v>
      </c>
      <c r="I399" s="2">
        <v>626.66</v>
      </c>
      <c r="J399" s="2" t="s">
        <v>63</v>
      </c>
      <c r="K399" s="2" t="s">
        <v>34</v>
      </c>
      <c r="L399" s="2" t="s">
        <v>35</v>
      </c>
      <c r="M399" s="2" t="s">
        <v>52</v>
      </c>
      <c r="N399" s="2" t="s">
        <v>1062</v>
      </c>
      <c r="O399" s="2" t="s">
        <v>1055</v>
      </c>
      <c r="P399" t="s">
        <v>1079</v>
      </c>
      <c r="Q399">
        <v>2025</v>
      </c>
    </row>
    <row r="400" spans="1:17" hidden="1" x14ac:dyDescent="0.25">
      <c r="A400" s="1" t="s">
        <v>590</v>
      </c>
      <c r="B400" s="3">
        <v>45512</v>
      </c>
      <c r="C400" s="1" t="s">
        <v>573</v>
      </c>
      <c r="D400" s="1" t="s">
        <v>55</v>
      </c>
      <c r="E400" s="1" t="s">
        <v>16</v>
      </c>
      <c r="F400" s="2">
        <v>32.869999999999997</v>
      </c>
      <c r="G400" s="2" t="s">
        <v>148</v>
      </c>
      <c r="H400" s="2">
        <v>15</v>
      </c>
      <c r="I400" s="2">
        <v>493</v>
      </c>
      <c r="J400" s="2" t="s">
        <v>18</v>
      </c>
      <c r="K400" s="2" t="s">
        <v>19</v>
      </c>
      <c r="L400" s="2" t="s">
        <v>47</v>
      </c>
      <c r="M400" s="2" t="s">
        <v>85</v>
      </c>
      <c r="N400" s="2" t="s">
        <v>1051</v>
      </c>
      <c r="O400" s="2" t="s">
        <v>1047</v>
      </c>
      <c r="P400" t="s">
        <v>1079</v>
      </c>
      <c r="Q400">
        <v>2024</v>
      </c>
    </row>
    <row r="401" spans="1:17" x14ac:dyDescent="0.25">
      <c r="A401" s="1" t="s">
        <v>591</v>
      </c>
      <c r="B401" s="3">
        <v>45917</v>
      </c>
      <c r="C401" s="1" t="s">
        <v>104</v>
      </c>
      <c r="D401" s="1" t="s">
        <v>39</v>
      </c>
      <c r="E401" s="1" t="s">
        <v>25</v>
      </c>
      <c r="F401" s="2">
        <v>309.12</v>
      </c>
      <c r="G401" s="2" t="s">
        <v>136</v>
      </c>
      <c r="H401" s="2">
        <v>16</v>
      </c>
      <c r="I401" s="2">
        <v>4946</v>
      </c>
      <c r="J401" s="2" t="s">
        <v>18</v>
      </c>
      <c r="K401" s="2" t="s">
        <v>19</v>
      </c>
      <c r="L401" s="2" t="s">
        <v>27</v>
      </c>
      <c r="M401" s="2" t="s">
        <v>28</v>
      </c>
      <c r="N401" s="2" t="s">
        <v>1049</v>
      </c>
      <c r="O401" s="2" t="s">
        <v>1059</v>
      </c>
      <c r="P401" t="s">
        <v>1078</v>
      </c>
      <c r="Q401">
        <v>2025</v>
      </c>
    </row>
    <row r="402" spans="1:17" x14ac:dyDescent="0.25">
      <c r="A402" s="1" t="s">
        <v>592</v>
      </c>
      <c r="B402" s="3">
        <v>45855</v>
      </c>
      <c r="C402" s="1" t="s">
        <v>108</v>
      </c>
      <c r="D402" s="1" t="s">
        <v>55</v>
      </c>
      <c r="E402" s="1" t="s">
        <v>16</v>
      </c>
      <c r="F402" s="2">
        <v>208.67</v>
      </c>
      <c r="G402" s="2" t="s">
        <v>148</v>
      </c>
      <c r="H402" s="2">
        <v>15</v>
      </c>
      <c r="I402" s="2">
        <v>3130.0499999999997</v>
      </c>
      <c r="J402" s="2" t="s">
        <v>18</v>
      </c>
      <c r="K402" s="2" t="s">
        <v>19</v>
      </c>
      <c r="L402" s="2" t="s">
        <v>20</v>
      </c>
      <c r="M402" s="2" t="s">
        <v>64</v>
      </c>
      <c r="N402" s="2" t="s">
        <v>1052</v>
      </c>
      <c r="O402" s="2" t="s">
        <v>1047</v>
      </c>
      <c r="P402" t="s">
        <v>1079</v>
      </c>
      <c r="Q402">
        <v>2025</v>
      </c>
    </row>
    <row r="403" spans="1:17" x14ac:dyDescent="0.25">
      <c r="A403" s="1" t="s">
        <v>593</v>
      </c>
      <c r="B403" s="3">
        <v>45814</v>
      </c>
      <c r="C403" s="1" t="s">
        <v>235</v>
      </c>
      <c r="D403" s="1" t="s">
        <v>15</v>
      </c>
      <c r="E403" s="1" t="s">
        <v>67</v>
      </c>
      <c r="F403" s="2">
        <v>210.73</v>
      </c>
      <c r="G403" s="2" t="s">
        <v>82</v>
      </c>
      <c r="H403" s="2">
        <v>20</v>
      </c>
      <c r="I403" s="2">
        <v>4214.63</v>
      </c>
      <c r="J403" s="2" t="s">
        <v>18</v>
      </c>
      <c r="K403" s="2" t="s">
        <v>19</v>
      </c>
      <c r="L403" s="2" t="s">
        <v>35</v>
      </c>
      <c r="M403" s="2" t="s">
        <v>52</v>
      </c>
      <c r="N403" s="2" t="s">
        <v>1062</v>
      </c>
      <c r="O403" s="2" t="s">
        <v>1058</v>
      </c>
      <c r="P403" t="s">
        <v>1078</v>
      </c>
      <c r="Q403">
        <v>2025</v>
      </c>
    </row>
    <row r="404" spans="1:17" x14ac:dyDescent="0.25">
      <c r="A404" s="1" t="s">
        <v>594</v>
      </c>
      <c r="B404" s="3">
        <v>45765</v>
      </c>
      <c r="C404" s="1" t="s">
        <v>92</v>
      </c>
      <c r="D404" s="1" t="s">
        <v>39</v>
      </c>
      <c r="E404" s="1" t="s">
        <v>71</v>
      </c>
      <c r="F404" s="2">
        <v>65.930000000000007</v>
      </c>
      <c r="G404" s="2" t="s">
        <v>93</v>
      </c>
      <c r="H404" s="2">
        <v>14</v>
      </c>
      <c r="I404" s="2">
        <v>922.97</v>
      </c>
      <c r="J404" s="2" t="s">
        <v>33</v>
      </c>
      <c r="K404" s="2" t="s">
        <v>19</v>
      </c>
      <c r="L404" s="2" t="s">
        <v>41</v>
      </c>
      <c r="M404" s="2" t="s">
        <v>76</v>
      </c>
      <c r="N404" s="2" t="s">
        <v>1048</v>
      </c>
      <c r="O404" s="2" t="s">
        <v>1058</v>
      </c>
      <c r="P404" t="s">
        <v>1079</v>
      </c>
      <c r="Q404">
        <v>2025</v>
      </c>
    </row>
    <row r="405" spans="1:17" hidden="1" x14ac:dyDescent="0.25">
      <c r="A405" s="1" t="s">
        <v>595</v>
      </c>
      <c r="B405" s="3">
        <v>45337</v>
      </c>
      <c r="C405" s="1" t="s">
        <v>95</v>
      </c>
      <c r="D405" s="1" t="s">
        <v>39</v>
      </c>
      <c r="E405" s="1" t="s">
        <v>71</v>
      </c>
      <c r="F405" s="2">
        <v>131.69999999999999</v>
      </c>
      <c r="G405" s="2" t="s">
        <v>93</v>
      </c>
      <c r="H405" s="2">
        <v>12</v>
      </c>
      <c r="I405" s="2">
        <v>1580.45</v>
      </c>
      <c r="J405" s="2" t="s">
        <v>63</v>
      </c>
      <c r="K405" s="2" t="s">
        <v>19</v>
      </c>
      <c r="L405" s="2" t="s">
        <v>20</v>
      </c>
      <c r="M405" s="2" t="s">
        <v>64</v>
      </c>
      <c r="N405" s="2" t="s">
        <v>1060</v>
      </c>
      <c r="O405" s="2" t="s">
        <v>1047</v>
      </c>
      <c r="P405" t="s">
        <v>1079</v>
      </c>
      <c r="Q405">
        <v>2024</v>
      </c>
    </row>
    <row r="406" spans="1:17" x14ac:dyDescent="0.25">
      <c r="A406" s="1" t="s">
        <v>596</v>
      </c>
      <c r="B406" s="3">
        <v>45877</v>
      </c>
      <c r="C406" s="1" t="s">
        <v>61</v>
      </c>
      <c r="D406" s="1" t="s">
        <v>15</v>
      </c>
      <c r="E406" s="1" t="s">
        <v>71</v>
      </c>
      <c r="F406" s="2">
        <v>238.53</v>
      </c>
      <c r="G406" s="2" t="s">
        <v>17</v>
      </c>
      <c r="H406" s="2">
        <v>15</v>
      </c>
      <c r="I406" s="2">
        <v>3578</v>
      </c>
      <c r="J406" s="2" t="s">
        <v>18</v>
      </c>
      <c r="K406" s="2" t="s">
        <v>19</v>
      </c>
      <c r="L406" s="2" t="s">
        <v>27</v>
      </c>
      <c r="M406" s="2" t="s">
        <v>28</v>
      </c>
      <c r="N406" s="2" t="s">
        <v>1051</v>
      </c>
      <c r="O406" s="2" t="s">
        <v>1058</v>
      </c>
      <c r="P406" t="s">
        <v>1079</v>
      </c>
      <c r="Q406">
        <v>2025</v>
      </c>
    </row>
    <row r="407" spans="1:17" x14ac:dyDescent="0.25">
      <c r="A407" s="1" t="s">
        <v>597</v>
      </c>
      <c r="B407" s="3">
        <v>45776</v>
      </c>
      <c r="C407" s="1" t="s">
        <v>363</v>
      </c>
      <c r="D407" s="1" t="s">
        <v>55</v>
      </c>
      <c r="E407" s="1" t="s">
        <v>45</v>
      </c>
      <c r="F407" s="2">
        <v>192.8</v>
      </c>
      <c r="G407" s="2" t="s">
        <v>56</v>
      </c>
      <c r="H407" s="2">
        <v>10</v>
      </c>
      <c r="I407" s="2">
        <v>1928</v>
      </c>
      <c r="J407" s="2" t="s">
        <v>18</v>
      </c>
      <c r="K407" s="2" t="s">
        <v>34</v>
      </c>
      <c r="L407" s="2" t="s">
        <v>41</v>
      </c>
      <c r="M407" s="2" t="s">
        <v>42</v>
      </c>
      <c r="N407" s="2" t="s">
        <v>1048</v>
      </c>
      <c r="O407" s="2" t="s">
        <v>1053</v>
      </c>
      <c r="P407" t="s">
        <v>1079</v>
      </c>
      <c r="Q407">
        <v>2025</v>
      </c>
    </row>
    <row r="408" spans="1:17" x14ac:dyDescent="0.25">
      <c r="A408" s="1" t="s">
        <v>598</v>
      </c>
      <c r="B408" s="3">
        <v>45804</v>
      </c>
      <c r="C408" s="1" t="s">
        <v>221</v>
      </c>
      <c r="D408" s="1" t="s">
        <v>24</v>
      </c>
      <c r="E408" s="1" t="s">
        <v>25</v>
      </c>
      <c r="F408" s="2">
        <v>70.63</v>
      </c>
      <c r="G408" s="2" t="s">
        <v>68</v>
      </c>
      <c r="H408" s="2">
        <v>13</v>
      </c>
      <c r="I408" s="2">
        <v>918.25</v>
      </c>
      <c r="J408" s="2" t="s">
        <v>63</v>
      </c>
      <c r="K408" s="2" t="s">
        <v>19</v>
      </c>
      <c r="L408" s="2" t="s">
        <v>47</v>
      </c>
      <c r="M408" s="2" t="s">
        <v>48</v>
      </c>
      <c r="N408" s="2" t="s">
        <v>1057</v>
      </c>
      <c r="O408" s="2" t="s">
        <v>1053</v>
      </c>
      <c r="P408" t="s">
        <v>1079</v>
      </c>
      <c r="Q408">
        <v>2025</v>
      </c>
    </row>
    <row r="409" spans="1:17" x14ac:dyDescent="0.25">
      <c r="A409" s="1" t="s">
        <v>599</v>
      </c>
      <c r="B409" s="3">
        <v>45936</v>
      </c>
      <c r="C409" s="1" t="s">
        <v>74</v>
      </c>
      <c r="D409" s="1" t="s">
        <v>31</v>
      </c>
      <c r="E409" s="1" t="s">
        <v>71</v>
      </c>
      <c r="F409" s="2">
        <v>986.96</v>
      </c>
      <c r="G409" s="2" t="s">
        <v>46</v>
      </c>
      <c r="H409" s="2">
        <v>1</v>
      </c>
      <c r="I409" s="2">
        <v>986.96</v>
      </c>
      <c r="J409" s="2" t="s">
        <v>18</v>
      </c>
      <c r="K409" s="2" t="s">
        <v>34</v>
      </c>
      <c r="L409" s="2" t="s">
        <v>20</v>
      </c>
      <c r="M409" s="2" t="s">
        <v>21</v>
      </c>
      <c r="N409" s="2" t="s">
        <v>1046</v>
      </c>
      <c r="O409" s="2" t="s">
        <v>1056</v>
      </c>
      <c r="P409" t="s">
        <v>1079</v>
      </c>
      <c r="Q409">
        <v>2025</v>
      </c>
    </row>
    <row r="410" spans="1:17" x14ac:dyDescent="0.25">
      <c r="A410" s="1" t="s">
        <v>600</v>
      </c>
      <c r="B410" s="3">
        <v>45713</v>
      </c>
      <c r="C410" s="1" t="s">
        <v>216</v>
      </c>
      <c r="D410" s="1" t="s">
        <v>24</v>
      </c>
      <c r="E410" s="1" t="s">
        <v>67</v>
      </c>
      <c r="F410" s="2">
        <v>68.16</v>
      </c>
      <c r="G410" s="2" t="s">
        <v>170</v>
      </c>
      <c r="H410" s="2">
        <v>15</v>
      </c>
      <c r="I410" s="2">
        <v>1022.44</v>
      </c>
      <c r="J410" s="2" t="s">
        <v>18</v>
      </c>
      <c r="K410" s="2" t="s">
        <v>19</v>
      </c>
      <c r="L410" s="2" t="s">
        <v>35</v>
      </c>
      <c r="M410" s="2" t="s">
        <v>36</v>
      </c>
      <c r="N410" s="2" t="s">
        <v>1060</v>
      </c>
      <c r="O410" s="2" t="s">
        <v>1053</v>
      </c>
      <c r="P410" t="s">
        <v>1079</v>
      </c>
      <c r="Q410">
        <v>2025</v>
      </c>
    </row>
    <row r="411" spans="1:17" hidden="1" x14ac:dyDescent="0.25">
      <c r="A411" s="1" t="s">
        <v>601</v>
      </c>
      <c r="B411" s="3">
        <v>45588</v>
      </c>
      <c r="C411" s="1" t="s">
        <v>112</v>
      </c>
      <c r="D411" s="1" t="s">
        <v>39</v>
      </c>
      <c r="E411" s="1" t="s">
        <v>25</v>
      </c>
      <c r="F411" s="2">
        <v>87.47</v>
      </c>
      <c r="G411" s="2" t="s">
        <v>72</v>
      </c>
      <c r="H411" s="2">
        <v>11</v>
      </c>
      <c r="I411" s="2">
        <v>962.13</v>
      </c>
      <c r="J411" s="2" t="s">
        <v>63</v>
      </c>
      <c r="K411" s="2" t="s">
        <v>19</v>
      </c>
      <c r="L411" s="2" t="s">
        <v>27</v>
      </c>
      <c r="M411" s="2" t="s">
        <v>59</v>
      </c>
      <c r="N411" s="2" t="s">
        <v>1046</v>
      </c>
      <c r="O411" s="2" t="s">
        <v>1059</v>
      </c>
      <c r="P411" t="s">
        <v>1079</v>
      </c>
      <c r="Q411">
        <v>2024</v>
      </c>
    </row>
    <row r="412" spans="1:17" hidden="1" x14ac:dyDescent="0.25">
      <c r="A412" s="1" t="s">
        <v>602</v>
      </c>
      <c r="B412" s="3">
        <v>45656</v>
      </c>
      <c r="C412" s="1" t="s">
        <v>320</v>
      </c>
      <c r="D412" s="1" t="s">
        <v>24</v>
      </c>
      <c r="E412" s="1" t="s">
        <v>71</v>
      </c>
      <c r="F412" s="2">
        <v>77.25</v>
      </c>
      <c r="G412" s="2" t="s">
        <v>26</v>
      </c>
      <c r="H412" s="2">
        <v>11</v>
      </c>
      <c r="I412" s="2">
        <v>166.2715</v>
      </c>
      <c r="J412" s="2" t="s">
        <v>63</v>
      </c>
      <c r="K412" s="2" t="s">
        <v>19</v>
      </c>
      <c r="L412" s="2" t="s">
        <v>27</v>
      </c>
      <c r="M412" s="2" t="s">
        <v>28</v>
      </c>
      <c r="N412" s="2" t="s">
        <v>1061</v>
      </c>
      <c r="O412" s="2" t="s">
        <v>1056</v>
      </c>
      <c r="P412" t="s">
        <v>1079</v>
      </c>
      <c r="Q412">
        <v>2024</v>
      </c>
    </row>
    <row r="413" spans="1:17" x14ac:dyDescent="0.25">
      <c r="A413" s="1" t="s">
        <v>603</v>
      </c>
      <c r="B413" s="3">
        <v>45694</v>
      </c>
      <c r="C413" s="1" t="s">
        <v>375</v>
      </c>
      <c r="D413" s="1" t="s">
        <v>15</v>
      </c>
      <c r="E413" s="1" t="s">
        <v>45</v>
      </c>
      <c r="F413" s="2">
        <v>758</v>
      </c>
      <c r="G413" s="2" t="s">
        <v>82</v>
      </c>
      <c r="H413" s="2">
        <v>1</v>
      </c>
      <c r="I413" s="2">
        <v>758</v>
      </c>
      <c r="J413" s="2" t="s">
        <v>18</v>
      </c>
      <c r="K413" s="2" t="s">
        <v>34</v>
      </c>
      <c r="L413" s="2" t="s">
        <v>27</v>
      </c>
      <c r="M413" s="2" t="s">
        <v>161</v>
      </c>
      <c r="N413" s="2" t="s">
        <v>1060</v>
      </c>
      <c r="O413" s="2" t="s">
        <v>1047</v>
      </c>
      <c r="P413" t="s">
        <v>1079</v>
      </c>
      <c r="Q413">
        <v>2025</v>
      </c>
    </row>
    <row r="414" spans="1:17" x14ac:dyDescent="0.25">
      <c r="A414" s="1" t="s">
        <v>604</v>
      </c>
      <c r="B414" s="3">
        <v>45788</v>
      </c>
      <c r="C414" s="1" t="s">
        <v>375</v>
      </c>
      <c r="D414" s="1" t="s">
        <v>31</v>
      </c>
      <c r="E414" s="1" t="s">
        <v>45</v>
      </c>
      <c r="F414" s="2">
        <v>73.03</v>
      </c>
      <c r="G414" s="2" t="s">
        <v>98</v>
      </c>
      <c r="H414" s="2">
        <v>15</v>
      </c>
      <c r="I414" s="2">
        <v>166.2715</v>
      </c>
      <c r="J414" s="2" t="s">
        <v>63</v>
      </c>
      <c r="K414" s="2" t="s">
        <v>19</v>
      </c>
      <c r="L414" s="2" t="s">
        <v>27</v>
      </c>
      <c r="M414" s="2" t="s">
        <v>28</v>
      </c>
      <c r="N414" s="2" t="s">
        <v>1057</v>
      </c>
      <c r="O414" s="2" t="s">
        <v>1055</v>
      </c>
      <c r="P414" t="s">
        <v>1079</v>
      </c>
      <c r="Q414">
        <v>2025</v>
      </c>
    </row>
    <row r="415" spans="1:17" x14ac:dyDescent="0.25">
      <c r="A415" s="1" t="s">
        <v>605</v>
      </c>
      <c r="B415" s="3">
        <v>45697</v>
      </c>
      <c r="C415" s="1" t="s">
        <v>228</v>
      </c>
      <c r="D415" s="1" t="s">
        <v>15</v>
      </c>
      <c r="E415" s="1" t="s">
        <v>16</v>
      </c>
      <c r="F415" s="2">
        <v>48.43</v>
      </c>
      <c r="G415" s="2" t="s">
        <v>51</v>
      </c>
      <c r="H415" s="2">
        <v>19</v>
      </c>
      <c r="I415" s="2">
        <v>920.25</v>
      </c>
      <c r="J415" s="2" t="s">
        <v>18</v>
      </c>
      <c r="K415" s="2" t="s">
        <v>19</v>
      </c>
      <c r="L415" s="2" t="s">
        <v>35</v>
      </c>
      <c r="M415" s="2" t="s">
        <v>126</v>
      </c>
      <c r="N415" s="2" t="s">
        <v>1060</v>
      </c>
      <c r="O415" s="2" t="s">
        <v>1055</v>
      </c>
      <c r="P415" t="s">
        <v>1079</v>
      </c>
      <c r="Q415">
        <v>2025</v>
      </c>
    </row>
    <row r="416" spans="1:17" hidden="1" x14ac:dyDescent="0.25">
      <c r="A416" s="1" t="s">
        <v>606</v>
      </c>
      <c r="B416" s="3">
        <v>45433</v>
      </c>
      <c r="C416" s="1" t="s">
        <v>95</v>
      </c>
      <c r="D416" s="1" t="s">
        <v>39</v>
      </c>
      <c r="E416" s="1" t="s">
        <v>45</v>
      </c>
      <c r="F416" s="2">
        <v>105.43</v>
      </c>
      <c r="G416" s="2" t="s">
        <v>72</v>
      </c>
      <c r="H416" s="2">
        <v>14</v>
      </c>
      <c r="I416" s="2">
        <v>1476</v>
      </c>
      <c r="J416" s="2" t="s">
        <v>18</v>
      </c>
      <c r="K416" s="2" t="s">
        <v>19</v>
      </c>
      <c r="L416" s="2" t="s">
        <v>27</v>
      </c>
      <c r="M416" s="2" t="s">
        <v>59</v>
      </c>
      <c r="N416" s="2" t="s">
        <v>1057</v>
      </c>
      <c r="O416" s="2" t="s">
        <v>1053</v>
      </c>
      <c r="P416" t="s">
        <v>1079</v>
      </c>
      <c r="Q416">
        <v>2024</v>
      </c>
    </row>
    <row r="417" spans="1:17" hidden="1" x14ac:dyDescent="0.25">
      <c r="A417" s="1" t="s">
        <v>607</v>
      </c>
      <c r="B417" s="3">
        <v>45455</v>
      </c>
      <c r="C417" s="1" t="s">
        <v>38</v>
      </c>
      <c r="D417" s="1" t="s">
        <v>24</v>
      </c>
      <c r="E417" s="1" t="s">
        <v>67</v>
      </c>
      <c r="F417" s="2">
        <v>164.77</v>
      </c>
      <c r="G417" s="2" t="s">
        <v>26</v>
      </c>
      <c r="H417" s="2">
        <v>13</v>
      </c>
      <c r="I417" s="2">
        <v>2142</v>
      </c>
      <c r="J417" s="2" t="s">
        <v>18</v>
      </c>
      <c r="K417" s="2" t="s">
        <v>19</v>
      </c>
      <c r="L417" s="2" t="s">
        <v>27</v>
      </c>
      <c r="M417" s="2" t="s">
        <v>161</v>
      </c>
      <c r="N417" s="2" t="s">
        <v>1062</v>
      </c>
      <c r="O417" s="2" t="s">
        <v>1059</v>
      </c>
      <c r="P417" t="s">
        <v>1079</v>
      </c>
      <c r="Q417">
        <v>2024</v>
      </c>
    </row>
    <row r="418" spans="1:17" x14ac:dyDescent="0.25">
      <c r="A418" s="1" t="s">
        <v>608</v>
      </c>
      <c r="B418" s="3">
        <v>45759</v>
      </c>
      <c r="C418" s="1" t="s">
        <v>353</v>
      </c>
      <c r="D418" s="1" t="s">
        <v>55</v>
      </c>
      <c r="E418" s="1" t="s">
        <v>25</v>
      </c>
      <c r="F418" s="2">
        <v>344.61</v>
      </c>
      <c r="G418" s="2" t="s">
        <v>90</v>
      </c>
      <c r="H418" s="2">
        <v>8</v>
      </c>
      <c r="I418" s="2">
        <v>2756.87</v>
      </c>
      <c r="J418" s="2" t="s">
        <v>63</v>
      </c>
      <c r="K418" s="2" t="s">
        <v>34</v>
      </c>
      <c r="L418" s="2" t="s">
        <v>47</v>
      </c>
      <c r="M418" s="2" t="s">
        <v>85</v>
      </c>
      <c r="N418" s="2" t="s">
        <v>1048</v>
      </c>
      <c r="O418" s="2" t="s">
        <v>1063</v>
      </c>
      <c r="P418" t="s">
        <v>1079</v>
      </c>
      <c r="Q418">
        <v>2025</v>
      </c>
    </row>
    <row r="419" spans="1:17" x14ac:dyDescent="0.25">
      <c r="A419" s="1" t="s">
        <v>609</v>
      </c>
      <c r="B419" s="3">
        <v>45941</v>
      </c>
      <c r="C419" s="1" t="s">
        <v>610</v>
      </c>
      <c r="D419" s="1" t="s">
        <v>24</v>
      </c>
      <c r="E419" s="1" t="s">
        <v>25</v>
      </c>
      <c r="F419" s="2">
        <v>161.31</v>
      </c>
      <c r="G419" s="2" t="s">
        <v>26</v>
      </c>
      <c r="H419" s="2">
        <v>12</v>
      </c>
      <c r="I419" s="2">
        <v>1935.72</v>
      </c>
      <c r="J419" s="2" t="s">
        <v>63</v>
      </c>
      <c r="K419" s="2" t="s">
        <v>19</v>
      </c>
      <c r="L419" s="2" t="s">
        <v>27</v>
      </c>
      <c r="M419" s="2" t="s">
        <v>59</v>
      </c>
      <c r="N419" s="2" t="s">
        <v>1046</v>
      </c>
      <c r="O419" s="2" t="s">
        <v>1063</v>
      </c>
      <c r="P419" t="s">
        <v>1079</v>
      </c>
      <c r="Q419">
        <v>2025</v>
      </c>
    </row>
    <row r="420" spans="1:17" hidden="1" x14ac:dyDescent="0.25">
      <c r="A420" s="1" t="s">
        <v>611</v>
      </c>
      <c r="B420" s="3">
        <v>45649</v>
      </c>
      <c r="C420" s="1" t="s">
        <v>431</v>
      </c>
      <c r="D420" s="1" t="s">
        <v>31</v>
      </c>
      <c r="E420" s="1" t="s">
        <v>25</v>
      </c>
      <c r="F420" s="2">
        <v>127</v>
      </c>
      <c r="G420" s="2" t="s">
        <v>31</v>
      </c>
      <c r="H420" s="2">
        <v>16</v>
      </c>
      <c r="I420" s="2">
        <v>2032.08</v>
      </c>
      <c r="J420" s="2" t="s">
        <v>63</v>
      </c>
      <c r="K420" s="2" t="s">
        <v>19</v>
      </c>
      <c r="L420" s="2" t="s">
        <v>27</v>
      </c>
      <c r="M420" s="2" t="s">
        <v>161</v>
      </c>
      <c r="N420" s="2" t="s">
        <v>1061</v>
      </c>
      <c r="O420" s="2" t="s">
        <v>1056</v>
      </c>
      <c r="P420" t="s">
        <v>1079</v>
      </c>
      <c r="Q420">
        <v>2024</v>
      </c>
    </row>
    <row r="421" spans="1:17" hidden="1" x14ac:dyDescent="0.25">
      <c r="A421" s="1" t="s">
        <v>612</v>
      </c>
      <c r="B421" s="3">
        <v>45628</v>
      </c>
      <c r="C421" s="1" t="s">
        <v>363</v>
      </c>
      <c r="D421" s="1" t="s">
        <v>55</v>
      </c>
      <c r="E421" s="1" t="s">
        <v>71</v>
      </c>
      <c r="F421" s="2">
        <v>106.38</v>
      </c>
      <c r="G421" s="2" t="s">
        <v>148</v>
      </c>
      <c r="H421" s="2">
        <v>17</v>
      </c>
      <c r="I421" s="2">
        <v>1808.43</v>
      </c>
      <c r="J421" s="2" t="s">
        <v>18</v>
      </c>
      <c r="K421" s="2" t="s">
        <v>19</v>
      </c>
      <c r="L421" s="2" t="s">
        <v>27</v>
      </c>
      <c r="M421" s="2" t="s">
        <v>28</v>
      </c>
      <c r="N421" s="2" t="s">
        <v>1061</v>
      </c>
      <c r="O421" s="2" t="s">
        <v>1056</v>
      </c>
      <c r="P421" t="s">
        <v>1079</v>
      </c>
      <c r="Q421">
        <v>2024</v>
      </c>
    </row>
    <row r="422" spans="1:17" hidden="1" x14ac:dyDescent="0.25">
      <c r="A422" s="1" t="s">
        <v>613</v>
      </c>
      <c r="B422" s="3">
        <v>45557</v>
      </c>
      <c r="C422" s="1" t="s">
        <v>112</v>
      </c>
      <c r="D422" s="1" t="s">
        <v>39</v>
      </c>
      <c r="E422" s="1" t="s">
        <v>45</v>
      </c>
      <c r="F422" s="2">
        <v>138.19999999999999</v>
      </c>
      <c r="G422" s="2" t="s">
        <v>72</v>
      </c>
      <c r="H422" s="2">
        <v>9</v>
      </c>
      <c r="I422" s="2">
        <v>1243.76</v>
      </c>
      <c r="J422" s="2" t="s">
        <v>33</v>
      </c>
      <c r="K422" s="2" t="s">
        <v>34</v>
      </c>
      <c r="L422" s="2" t="s">
        <v>47</v>
      </c>
      <c r="M422" s="2" t="s">
        <v>85</v>
      </c>
      <c r="N422" s="2" t="s">
        <v>1049</v>
      </c>
      <c r="O422" s="2" t="s">
        <v>1055</v>
      </c>
      <c r="P422" t="s">
        <v>1079</v>
      </c>
      <c r="Q422">
        <v>2024</v>
      </c>
    </row>
    <row r="423" spans="1:17" x14ac:dyDescent="0.25">
      <c r="A423" s="1" t="s">
        <v>614</v>
      </c>
      <c r="B423" s="3">
        <v>45827</v>
      </c>
      <c r="C423" s="1" t="s">
        <v>184</v>
      </c>
      <c r="D423" s="1" t="s">
        <v>55</v>
      </c>
      <c r="E423" s="1" t="s">
        <v>25</v>
      </c>
      <c r="F423" s="2">
        <v>201.69</v>
      </c>
      <c r="G423" s="2" t="s">
        <v>148</v>
      </c>
      <c r="H423" s="2">
        <v>8</v>
      </c>
      <c r="I423" s="2">
        <v>1613.54</v>
      </c>
      <c r="J423" s="2" t="s">
        <v>18</v>
      </c>
      <c r="K423" s="2" t="s">
        <v>34</v>
      </c>
      <c r="L423" s="2" t="s">
        <v>20</v>
      </c>
      <c r="M423" s="2" t="s">
        <v>88</v>
      </c>
      <c r="N423" s="2" t="s">
        <v>1062</v>
      </c>
      <c r="O423" s="2" t="s">
        <v>1047</v>
      </c>
      <c r="P423" t="s">
        <v>1079</v>
      </c>
      <c r="Q423">
        <v>2025</v>
      </c>
    </row>
    <row r="424" spans="1:17" x14ac:dyDescent="0.25">
      <c r="A424" s="1" t="s">
        <v>615</v>
      </c>
      <c r="B424" s="3">
        <v>45884</v>
      </c>
      <c r="C424" s="1" t="s">
        <v>266</v>
      </c>
      <c r="D424" s="1" t="s">
        <v>15</v>
      </c>
      <c r="E424" s="1" t="s">
        <v>45</v>
      </c>
      <c r="F424" s="2">
        <v>345.8</v>
      </c>
      <c r="G424" s="2" t="s">
        <v>51</v>
      </c>
      <c r="H424" s="2">
        <v>9</v>
      </c>
      <c r="I424" s="2">
        <v>3112.16</v>
      </c>
      <c r="J424" s="2" t="s">
        <v>63</v>
      </c>
      <c r="K424" s="2" t="s">
        <v>19</v>
      </c>
      <c r="L424" s="2" t="s">
        <v>41</v>
      </c>
      <c r="M424" s="2" t="s">
        <v>42</v>
      </c>
      <c r="N424" s="2" t="s">
        <v>1051</v>
      </c>
      <c r="O424" s="2" t="s">
        <v>1058</v>
      </c>
      <c r="P424" t="s">
        <v>1079</v>
      </c>
      <c r="Q424">
        <v>2025</v>
      </c>
    </row>
    <row r="425" spans="1:17" hidden="1" x14ac:dyDescent="0.25">
      <c r="A425" s="1" t="s">
        <v>616</v>
      </c>
      <c r="B425" s="3">
        <v>45404</v>
      </c>
      <c r="C425" s="1" t="s">
        <v>108</v>
      </c>
      <c r="D425" s="1" t="s">
        <v>15</v>
      </c>
      <c r="E425" s="1" t="s">
        <v>71</v>
      </c>
      <c r="F425" s="2">
        <v>52.85</v>
      </c>
      <c r="G425" s="2" t="s">
        <v>62</v>
      </c>
      <c r="H425" s="2">
        <v>15</v>
      </c>
      <c r="I425" s="2">
        <v>792.82</v>
      </c>
      <c r="J425" s="2" t="s">
        <v>63</v>
      </c>
      <c r="K425" s="2" t="s">
        <v>19</v>
      </c>
      <c r="L425" s="2" t="s">
        <v>47</v>
      </c>
      <c r="M425" s="2" t="s">
        <v>85</v>
      </c>
      <c r="N425" s="2" t="s">
        <v>1048</v>
      </c>
      <c r="O425" s="2" t="s">
        <v>1056</v>
      </c>
      <c r="P425" t="s">
        <v>1079</v>
      </c>
      <c r="Q425">
        <v>2024</v>
      </c>
    </row>
    <row r="426" spans="1:17" x14ac:dyDescent="0.25">
      <c r="A426" s="1" t="s">
        <v>617</v>
      </c>
      <c r="B426" s="3">
        <v>45750</v>
      </c>
      <c r="C426" s="1" t="s">
        <v>446</v>
      </c>
      <c r="D426" s="1" t="s">
        <v>39</v>
      </c>
      <c r="E426" s="1" t="s">
        <v>71</v>
      </c>
      <c r="F426" s="2">
        <v>383.56</v>
      </c>
      <c r="G426" s="2" t="s">
        <v>40</v>
      </c>
      <c r="H426" s="2">
        <v>10</v>
      </c>
      <c r="I426" s="2">
        <v>3835.56</v>
      </c>
      <c r="J426" s="2" t="s">
        <v>18</v>
      </c>
      <c r="K426" s="2" t="s">
        <v>19</v>
      </c>
      <c r="L426" s="2" t="s">
        <v>27</v>
      </c>
      <c r="M426" s="2" t="s">
        <v>161</v>
      </c>
      <c r="N426" s="2" t="s">
        <v>1048</v>
      </c>
      <c r="O426" s="2" t="s">
        <v>1047</v>
      </c>
      <c r="P426" t="s">
        <v>1079</v>
      </c>
      <c r="Q426">
        <v>2025</v>
      </c>
    </row>
    <row r="427" spans="1:17" x14ac:dyDescent="0.25">
      <c r="A427" s="1" t="s">
        <v>618</v>
      </c>
      <c r="B427" s="3">
        <v>45760</v>
      </c>
      <c r="C427" s="1" t="s">
        <v>167</v>
      </c>
      <c r="D427" s="1" t="s">
        <v>55</v>
      </c>
      <c r="E427" s="1" t="s">
        <v>25</v>
      </c>
      <c r="F427" s="2">
        <v>1247.8800000000001</v>
      </c>
      <c r="G427" s="2" t="s">
        <v>56</v>
      </c>
      <c r="H427" s="2">
        <v>1</v>
      </c>
      <c r="I427" s="2">
        <v>1247.8800000000001</v>
      </c>
      <c r="J427" s="2" t="s">
        <v>33</v>
      </c>
      <c r="K427" s="2" t="s">
        <v>34</v>
      </c>
      <c r="L427" s="2" t="s">
        <v>47</v>
      </c>
      <c r="M427" s="2" t="s">
        <v>48</v>
      </c>
      <c r="N427" s="2" t="s">
        <v>1048</v>
      </c>
      <c r="O427" s="2" t="s">
        <v>1055</v>
      </c>
      <c r="P427" t="s">
        <v>1079</v>
      </c>
      <c r="Q427">
        <v>2025</v>
      </c>
    </row>
    <row r="428" spans="1:17" x14ac:dyDescent="0.25">
      <c r="A428" s="1" t="s">
        <v>619</v>
      </c>
      <c r="B428" s="3">
        <v>45740</v>
      </c>
      <c r="C428" s="1" t="s">
        <v>61</v>
      </c>
      <c r="D428" s="1" t="s">
        <v>55</v>
      </c>
      <c r="E428" s="1" t="s">
        <v>16</v>
      </c>
      <c r="F428" s="2">
        <v>54.02</v>
      </c>
      <c r="G428" s="2" t="s">
        <v>56</v>
      </c>
      <c r="H428" s="2">
        <v>17</v>
      </c>
      <c r="I428" s="2">
        <v>918.26</v>
      </c>
      <c r="J428" s="2" t="s">
        <v>18</v>
      </c>
      <c r="K428" s="2" t="s">
        <v>19</v>
      </c>
      <c r="L428" s="2" t="s">
        <v>20</v>
      </c>
      <c r="M428" s="2" t="s">
        <v>21</v>
      </c>
      <c r="N428" s="2" t="s">
        <v>1054</v>
      </c>
      <c r="O428" s="2" t="s">
        <v>1056</v>
      </c>
      <c r="P428" t="s">
        <v>1079</v>
      </c>
      <c r="Q428">
        <v>2025</v>
      </c>
    </row>
    <row r="429" spans="1:17" hidden="1" x14ac:dyDescent="0.25">
      <c r="A429" s="1" t="s">
        <v>620</v>
      </c>
      <c r="B429" s="3">
        <v>45340</v>
      </c>
      <c r="C429" s="1" t="s">
        <v>348</v>
      </c>
      <c r="D429" s="1" t="s">
        <v>39</v>
      </c>
      <c r="E429" s="1" t="s">
        <v>67</v>
      </c>
      <c r="F429" s="2">
        <v>78.36</v>
      </c>
      <c r="G429" s="2" t="s">
        <v>72</v>
      </c>
      <c r="H429" s="2">
        <v>10</v>
      </c>
      <c r="I429" s="2">
        <v>783.65</v>
      </c>
      <c r="J429" s="2" t="s">
        <v>63</v>
      </c>
      <c r="K429" s="2" t="s">
        <v>34</v>
      </c>
      <c r="L429" s="2" t="s">
        <v>41</v>
      </c>
      <c r="M429" s="2" t="s">
        <v>141</v>
      </c>
      <c r="N429" s="2" t="s">
        <v>1060</v>
      </c>
      <c r="O429" s="2" t="s">
        <v>1055</v>
      </c>
      <c r="P429" t="s">
        <v>1079</v>
      </c>
      <c r="Q429">
        <v>2024</v>
      </c>
    </row>
    <row r="430" spans="1:17" x14ac:dyDescent="0.25">
      <c r="A430" s="1" t="s">
        <v>621</v>
      </c>
      <c r="B430" s="3">
        <v>45764</v>
      </c>
      <c r="C430" s="1" t="s">
        <v>95</v>
      </c>
      <c r="D430" s="1" t="s">
        <v>31</v>
      </c>
      <c r="E430" s="1" t="s">
        <v>71</v>
      </c>
      <c r="F430" s="2">
        <v>356.8</v>
      </c>
      <c r="G430" s="2" t="s">
        <v>98</v>
      </c>
      <c r="H430" s="2">
        <v>14</v>
      </c>
      <c r="I430" s="2">
        <v>4995.2</v>
      </c>
      <c r="J430" s="2" t="s">
        <v>18</v>
      </c>
      <c r="K430" s="2" t="s">
        <v>19</v>
      </c>
      <c r="L430" s="2" t="s">
        <v>27</v>
      </c>
      <c r="M430" s="2" t="s">
        <v>59</v>
      </c>
      <c r="N430" s="2" t="s">
        <v>1048</v>
      </c>
      <c r="O430" s="2" t="s">
        <v>1047</v>
      </c>
      <c r="P430" t="s">
        <v>1078</v>
      </c>
      <c r="Q430">
        <v>2025</v>
      </c>
    </row>
    <row r="431" spans="1:17" hidden="1" x14ac:dyDescent="0.25">
      <c r="A431" s="1" t="s">
        <v>622</v>
      </c>
      <c r="B431" s="3">
        <v>45492</v>
      </c>
      <c r="C431" s="1" t="s">
        <v>133</v>
      </c>
      <c r="D431" s="1" t="s">
        <v>15</v>
      </c>
      <c r="E431" s="1" t="s">
        <v>67</v>
      </c>
      <c r="F431" s="2">
        <v>502.43</v>
      </c>
      <c r="G431" s="2" t="s">
        <v>82</v>
      </c>
      <c r="H431" s="2">
        <v>10</v>
      </c>
      <c r="I431" s="2">
        <v>5024.33</v>
      </c>
      <c r="J431" s="2" t="s">
        <v>33</v>
      </c>
      <c r="K431" s="2" t="s">
        <v>19</v>
      </c>
      <c r="L431" s="2" t="s">
        <v>41</v>
      </c>
      <c r="M431" s="2" t="s">
        <v>42</v>
      </c>
      <c r="N431" s="2" t="s">
        <v>1052</v>
      </c>
      <c r="O431" s="2" t="s">
        <v>1058</v>
      </c>
      <c r="P431" t="s">
        <v>1078</v>
      </c>
      <c r="Q431">
        <v>2024</v>
      </c>
    </row>
    <row r="432" spans="1:17" x14ac:dyDescent="0.25">
      <c r="A432" s="1" t="s">
        <v>623</v>
      </c>
      <c r="B432" s="3">
        <v>45929</v>
      </c>
      <c r="C432" s="1" t="s">
        <v>385</v>
      </c>
      <c r="D432" s="1" t="s">
        <v>31</v>
      </c>
      <c r="E432" s="1" t="s">
        <v>71</v>
      </c>
      <c r="F432" s="2">
        <v>113.54</v>
      </c>
      <c r="G432" s="2" t="s">
        <v>32</v>
      </c>
      <c r="H432" s="2">
        <v>15</v>
      </c>
      <c r="I432" s="2">
        <v>1703.09</v>
      </c>
      <c r="J432" s="2" t="s">
        <v>33</v>
      </c>
      <c r="K432" s="2" t="s">
        <v>19</v>
      </c>
      <c r="L432" s="2" t="s">
        <v>20</v>
      </c>
      <c r="M432" s="2" t="s">
        <v>21</v>
      </c>
      <c r="N432" s="2" t="s">
        <v>1049</v>
      </c>
      <c r="O432" s="2" t="s">
        <v>1056</v>
      </c>
      <c r="P432" t="s">
        <v>1079</v>
      </c>
      <c r="Q432">
        <v>2025</v>
      </c>
    </row>
    <row r="433" spans="1:17" hidden="1" x14ac:dyDescent="0.25">
      <c r="A433" s="1" t="s">
        <v>624</v>
      </c>
      <c r="B433" s="3">
        <v>45366</v>
      </c>
      <c r="C433" s="1" t="s">
        <v>121</v>
      </c>
      <c r="D433" s="1" t="s">
        <v>55</v>
      </c>
      <c r="E433" s="1" t="s">
        <v>45</v>
      </c>
      <c r="F433" s="2">
        <v>277.58</v>
      </c>
      <c r="G433" s="2" t="s">
        <v>79</v>
      </c>
      <c r="H433" s="2">
        <v>12</v>
      </c>
      <c r="I433" s="2">
        <v>3331</v>
      </c>
      <c r="J433" s="2" t="s">
        <v>18</v>
      </c>
      <c r="K433" s="2" t="s">
        <v>19</v>
      </c>
      <c r="L433" s="2" t="s">
        <v>20</v>
      </c>
      <c r="M433" s="2" t="s">
        <v>21</v>
      </c>
      <c r="N433" s="2" t="s">
        <v>1054</v>
      </c>
      <c r="O433" s="2" t="s">
        <v>1058</v>
      </c>
      <c r="P433" t="s">
        <v>1079</v>
      </c>
      <c r="Q433">
        <v>2024</v>
      </c>
    </row>
    <row r="434" spans="1:17" hidden="1" x14ac:dyDescent="0.25">
      <c r="A434" s="1" t="s">
        <v>625</v>
      </c>
      <c r="B434" s="3">
        <v>45385</v>
      </c>
      <c r="C434" s="1" t="s">
        <v>158</v>
      </c>
      <c r="D434" s="1" t="s">
        <v>55</v>
      </c>
      <c r="E434" s="1" t="s">
        <v>25</v>
      </c>
      <c r="F434" s="2">
        <v>139.86000000000001</v>
      </c>
      <c r="G434" s="2" t="s">
        <v>90</v>
      </c>
      <c r="H434" s="2">
        <v>17</v>
      </c>
      <c r="I434" s="2">
        <v>2377.67</v>
      </c>
      <c r="J434" s="2" t="s">
        <v>18</v>
      </c>
      <c r="K434" s="2" t="s">
        <v>19</v>
      </c>
      <c r="L434" s="2" t="s">
        <v>47</v>
      </c>
      <c r="M434" s="2" t="s">
        <v>153</v>
      </c>
      <c r="N434" s="2" t="s">
        <v>1048</v>
      </c>
      <c r="O434" s="2" t="s">
        <v>1059</v>
      </c>
      <c r="P434" t="s">
        <v>1079</v>
      </c>
      <c r="Q434">
        <v>2024</v>
      </c>
    </row>
    <row r="435" spans="1:17" hidden="1" x14ac:dyDescent="0.25">
      <c r="A435" s="1" t="s">
        <v>626</v>
      </c>
      <c r="B435" s="3">
        <v>45610</v>
      </c>
      <c r="C435" s="1" t="s">
        <v>152</v>
      </c>
      <c r="D435" s="1" t="s">
        <v>39</v>
      </c>
      <c r="E435" s="1" t="s">
        <v>71</v>
      </c>
      <c r="F435" s="2">
        <v>115.73</v>
      </c>
      <c r="G435" s="2" t="s">
        <v>93</v>
      </c>
      <c r="H435" s="2">
        <v>11</v>
      </c>
      <c r="I435" s="2">
        <v>1273</v>
      </c>
      <c r="J435" s="2" t="s">
        <v>63</v>
      </c>
      <c r="K435" s="2" t="s">
        <v>19</v>
      </c>
      <c r="L435" s="2" t="s">
        <v>47</v>
      </c>
      <c r="M435" s="2" t="s">
        <v>85</v>
      </c>
      <c r="N435" s="2" t="s">
        <v>1064</v>
      </c>
      <c r="O435" s="2" t="s">
        <v>1047</v>
      </c>
      <c r="P435" t="s">
        <v>1079</v>
      </c>
      <c r="Q435">
        <v>2024</v>
      </c>
    </row>
    <row r="436" spans="1:17" x14ac:dyDescent="0.25">
      <c r="A436" s="1" t="s">
        <v>627</v>
      </c>
      <c r="B436" s="3">
        <v>45717</v>
      </c>
      <c r="C436" s="1" t="s">
        <v>375</v>
      </c>
      <c r="D436" s="1" t="s">
        <v>39</v>
      </c>
      <c r="E436" s="1" t="s">
        <v>45</v>
      </c>
      <c r="F436" s="2">
        <v>190.79</v>
      </c>
      <c r="G436" s="2" t="s">
        <v>136</v>
      </c>
      <c r="H436" s="2">
        <v>17</v>
      </c>
      <c r="I436" s="2">
        <v>3243.39</v>
      </c>
      <c r="J436" s="2" t="s">
        <v>63</v>
      </c>
      <c r="K436" s="2" t="s">
        <v>19</v>
      </c>
      <c r="L436" s="2" t="s">
        <v>35</v>
      </c>
      <c r="M436" s="2" t="s">
        <v>126</v>
      </c>
      <c r="N436" s="2" t="s">
        <v>1054</v>
      </c>
      <c r="O436" s="2" t="s">
        <v>1063</v>
      </c>
      <c r="P436" t="s">
        <v>1079</v>
      </c>
      <c r="Q436">
        <v>2025</v>
      </c>
    </row>
    <row r="437" spans="1:17" hidden="1" x14ac:dyDescent="0.25">
      <c r="A437" s="1" t="s">
        <v>628</v>
      </c>
      <c r="B437" s="3">
        <v>45596</v>
      </c>
      <c r="C437" s="1" t="s">
        <v>281</v>
      </c>
      <c r="D437" s="1" t="s">
        <v>24</v>
      </c>
      <c r="E437" s="1" t="s">
        <v>16</v>
      </c>
      <c r="F437" s="2">
        <v>149.11000000000001</v>
      </c>
      <c r="G437" s="2" t="s">
        <v>68</v>
      </c>
      <c r="H437" s="2">
        <v>9</v>
      </c>
      <c r="I437" s="2">
        <v>1342</v>
      </c>
      <c r="J437" s="2" t="s">
        <v>18</v>
      </c>
      <c r="K437" s="2" t="s">
        <v>34</v>
      </c>
      <c r="L437" s="2" t="s">
        <v>41</v>
      </c>
      <c r="M437" s="2" t="s">
        <v>141</v>
      </c>
      <c r="N437" s="2" t="s">
        <v>1046</v>
      </c>
      <c r="O437" s="2" t="s">
        <v>1047</v>
      </c>
      <c r="P437" t="s">
        <v>1079</v>
      </c>
      <c r="Q437">
        <v>2024</v>
      </c>
    </row>
    <row r="438" spans="1:17" x14ac:dyDescent="0.25">
      <c r="A438" s="1" t="s">
        <v>629</v>
      </c>
      <c r="B438" s="3">
        <v>45670</v>
      </c>
      <c r="C438" s="1" t="s">
        <v>116</v>
      </c>
      <c r="D438" s="1" t="s">
        <v>24</v>
      </c>
      <c r="E438" s="1" t="s">
        <v>67</v>
      </c>
      <c r="F438" s="2">
        <v>90.68</v>
      </c>
      <c r="G438" s="2" t="s">
        <v>26</v>
      </c>
      <c r="H438" s="2">
        <v>15</v>
      </c>
      <c r="I438" s="2">
        <v>1360.23</v>
      </c>
      <c r="J438" s="2" t="s">
        <v>63</v>
      </c>
      <c r="K438" s="2" t="s">
        <v>19</v>
      </c>
      <c r="L438" s="2" t="s">
        <v>27</v>
      </c>
      <c r="M438" s="2" t="s">
        <v>59</v>
      </c>
      <c r="N438" s="2" t="s">
        <v>1050</v>
      </c>
      <c r="O438" s="2" t="s">
        <v>1056</v>
      </c>
      <c r="P438" t="s">
        <v>1079</v>
      </c>
      <c r="Q438">
        <v>2025</v>
      </c>
    </row>
    <row r="439" spans="1:17" hidden="1" x14ac:dyDescent="0.25">
      <c r="A439" s="1" t="s">
        <v>630</v>
      </c>
      <c r="B439" s="3">
        <v>45520</v>
      </c>
      <c r="C439" s="1" t="s">
        <v>275</v>
      </c>
      <c r="D439" s="1" t="s">
        <v>31</v>
      </c>
      <c r="E439" s="1" t="s">
        <v>16</v>
      </c>
      <c r="F439" s="2">
        <v>139.36000000000001</v>
      </c>
      <c r="G439" s="2" t="s">
        <v>46</v>
      </c>
      <c r="H439" s="2">
        <v>9</v>
      </c>
      <c r="I439" s="2">
        <v>1254.21</v>
      </c>
      <c r="J439" s="2" t="s">
        <v>18</v>
      </c>
      <c r="K439" s="2" t="s">
        <v>34</v>
      </c>
      <c r="L439" s="2" t="s">
        <v>47</v>
      </c>
      <c r="M439" s="2" t="s">
        <v>48</v>
      </c>
      <c r="N439" s="2" t="s">
        <v>1051</v>
      </c>
      <c r="O439" s="2" t="s">
        <v>1058</v>
      </c>
      <c r="P439" t="s">
        <v>1079</v>
      </c>
      <c r="Q439">
        <v>2024</v>
      </c>
    </row>
    <row r="440" spans="1:17" x14ac:dyDescent="0.25">
      <c r="A440" s="1" t="s">
        <v>631</v>
      </c>
      <c r="B440" s="3">
        <v>45880</v>
      </c>
      <c r="C440" s="1" t="s">
        <v>184</v>
      </c>
      <c r="D440" s="1" t="s">
        <v>24</v>
      </c>
      <c r="E440" s="1" t="s">
        <v>67</v>
      </c>
      <c r="F440" s="2">
        <v>84.47</v>
      </c>
      <c r="G440" s="2" t="s">
        <v>26</v>
      </c>
      <c r="H440" s="2">
        <v>13</v>
      </c>
      <c r="I440" s="2">
        <v>1098.1500000000001</v>
      </c>
      <c r="J440" s="2" t="s">
        <v>18</v>
      </c>
      <c r="K440" s="2" t="s">
        <v>19</v>
      </c>
      <c r="L440" s="2" t="s">
        <v>20</v>
      </c>
      <c r="M440" s="2" t="s">
        <v>64</v>
      </c>
      <c r="N440" s="2" t="s">
        <v>1051</v>
      </c>
      <c r="O440" s="2" t="s">
        <v>1056</v>
      </c>
      <c r="P440" t="s">
        <v>1079</v>
      </c>
      <c r="Q440">
        <v>2025</v>
      </c>
    </row>
    <row r="441" spans="1:17" hidden="1" x14ac:dyDescent="0.25">
      <c r="A441" s="1" t="s">
        <v>632</v>
      </c>
      <c r="B441" s="3">
        <v>45569</v>
      </c>
      <c r="C441" s="1" t="s">
        <v>540</v>
      </c>
      <c r="D441" s="1" t="s">
        <v>55</v>
      </c>
      <c r="E441" s="1" t="s">
        <v>16</v>
      </c>
      <c r="F441" s="2">
        <v>312.23</v>
      </c>
      <c r="G441" s="2" t="s">
        <v>79</v>
      </c>
      <c r="H441" s="2">
        <v>6</v>
      </c>
      <c r="I441" s="2">
        <v>1873.36</v>
      </c>
      <c r="J441" s="2" t="s">
        <v>63</v>
      </c>
      <c r="K441" s="2" t="s">
        <v>34</v>
      </c>
      <c r="L441" s="2" t="s">
        <v>35</v>
      </c>
      <c r="M441" s="2" t="s">
        <v>52</v>
      </c>
      <c r="N441" s="2" t="s">
        <v>1046</v>
      </c>
      <c r="O441" s="2" t="s">
        <v>1058</v>
      </c>
      <c r="P441" t="s">
        <v>1079</v>
      </c>
      <c r="Q441">
        <v>2024</v>
      </c>
    </row>
    <row r="442" spans="1:17" x14ac:dyDescent="0.25">
      <c r="A442" s="1" t="s">
        <v>633</v>
      </c>
      <c r="B442" s="3">
        <v>45679</v>
      </c>
      <c r="C442" s="1" t="s">
        <v>634</v>
      </c>
      <c r="D442" s="1" t="s">
        <v>55</v>
      </c>
      <c r="E442" s="1" t="s">
        <v>16</v>
      </c>
      <c r="F442" s="2">
        <v>77.23</v>
      </c>
      <c r="G442" s="2" t="s">
        <v>90</v>
      </c>
      <c r="H442" s="2">
        <v>9</v>
      </c>
      <c r="I442" s="2">
        <v>13174.279999999999</v>
      </c>
      <c r="J442" s="2" t="s">
        <v>18</v>
      </c>
      <c r="K442" s="2" t="s">
        <v>19</v>
      </c>
      <c r="L442" s="2" t="s">
        <v>47</v>
      </c>
      <c r="M442" s="2" t="s">
        <v>153</v>
      </c>
      <c r="N442" s="2" t="s">
        <v>1050</v>
      </c>
      <c r="O442" s="2" t="s">
        <v>1059</v>
      </c>
      <c r="P442" t="s">
        <v>1078</v>
      </c>
      <c r="Q442">
        <v>2025</v>
      </c>
    </row>
    <row r="443" spans="1:17" x14ac:dyDescent="0.25">
      <c r="A443" s="1" t="s">
        <v>635</v>
      </c>
      <c r="B443" s="3">
        <v>45926</v>
      </c>
      <c r="C443" s="1" t="s">
        <v>381</v>
      </c>
      <c r="D443" s="1" t="s">
        <v>15</v>
      </c>
      <c r="E443" s="1" t="s">
        <v>67</v>
      </c>
      <c r="F443" s="2">
        <v>122.36</v>
      </c>
      <c r="G443" s="2" t="s">
        <v>82</v>
      </c>
      <c r="H443" s="2">
        <v>17</v>
      </c>
      <c r="I443" s="2">
        <v>2080.1</v>
      </c>
      <c r="J443" s="2" t="s">
        <v>18</v>
      </c>
      <c r="K443" s="2" t="s">
        <v>19</v>
      </c>
      <c r="L443" s="2" t="s">
        <v>47</v>
      </c>
      <c r="M443" s="2" t="s">
        <v>85</v>
      </c>
      <c r="N443" s="2" t="s">
        <v>1049</v>
      </c>
      <c r="O443" s="2" t="s">
        <v>1058</v>
      </c>
      <c r="P443" t="s">
        <v>1079</v>
      </c>
      <c r="Q443">
        <v>2025</v>
      </c>
    </row>
    <row r="444" spans="1:17" hidden="1" x14ac:dyDescent="0.25">
      <c r="A444" s="1" t="s">
        <v>636</v>
      </c>
      <c r="B444" s="3">
        <v>45468</v>
      </c>
      <c r="C444" s="1" t="s">
        <v>237</v>
      </c>
      <c r="D444" s="1" t="s">
        <v>55</v>
      </c>
      <c r="E444" s="1" t="s">
        <v>67</v>
      </c>
      <c r="F444" s="2">
        <v>122.78</v>
      </c>
      <c r="G444" s="2" t="s">
        <v>79</v>
      </c>
      <c r="H444" s="2">
        <v>9</v>
      </c>
      <c r="I444" s="2">
        <v>1105.03</v>
      </c>
      <c r="J444" s="2" t="s">
        <v>18</v>
      </c>
      <c r="K444" s="2" t="s">
        <v>34</v>
      </c>
      <c r="L444" s="2" t="s">
        <v>27</v>
      </c>
      <c r="M444" s="2" t="s">
        <v>161</v>
      </c>
      <c r="N444" s="2" t="s">
        <v>1062</v>
      </c>
      <c r="O444" s="2" t="s">
        <v>1053</v>
      </c>
      <c r="P444" t="s">
        <v>1079</v>
      </c>
      <c r="Q444">
        <v>2024</v>
      </c>
    </row>
    <row r="445" spans="1:17" x14ac:dyDescent="0.25">
      <c r="A445" s="1" t="s">
        <v>637</v>
      </c>
      <c r="B445" s="3">
        <v>45697</v>
      </c>
      <c r="C445" s="1" t="s">
        <v>181</v>
      </c>
      <c r="D445" s="1" t="s">
        <v>39</v>
      </c>
      <c r="E445" s="1" t="s">
        <v>67</v>
      </c>
      <c r="F445" s="2">
        <v>34.270000000000003</v>
      </c>
      <c r="G445" s="2" t="s">
        <v>72</v>
      </c>
      <c r="H445" s="2">
        <v>68</v>
      </c>
      <c r="I445" s="2">
        <v>2330.0700000000002</v>
      </c>
      <c r="J445" s="2" t="s">
        <v>33</v>
      </c>
      <c r="K445" s="2" t="s">
        <v>19</v>
      </c>
      <c r="L445" s="2" t="s">
        <v>41</v>
      </c>
      <c r="M445" s="2" t="s">
        <v>76</v>
      </c>
      <c r="N445" s="2" t="s">
        <v>1060</v>
      </c>
      <c r="O445" s="2" t="s">
        <v>1055</v>
      </c>
      <c r="P445" t="s">
        <v>1079</v>
      </c>
      <c r="Q445">
        <v>2025</v>
      </c>
    </row>
    <row r="446" spans="1:17" x14ac:dyDescent="0.25">
      <c r="A446" s="1" t="s">
        <v>638</v>
      </c>
      <c r="B446" s="3">
        <v>45863</v>
      </c>
      <c r="C446" s="1" t="s">
        <v>240</v>
      </c>
      <c r="D446" s="1" t="s">
        <v>39</v>
      </c>
      <c r="E446" s="1" t="s">
        <v>16</v>
      </c>
      <c r="F446" s="2">
        <v>88.38</v>
      </c>
      <c r="G446" s="2" t="s">
        <v>72</v>
      </c>
      <c r="H446" s="2">
        <v>15</v>
      </c>
      <c r="I446" s="2">
        <v>1325.64</v>
      </c>
      <c r="J446" s="2" t="s">
        <v>18</v>
      </c>
      <c r="K446" s="2" t="s">
        <v>19</v>
      </c>
      <c r="L446" s="2" t="s">
        <v>47</v>
      </c>
      <c r="M446" s="2" t="s">
        <v>85</v>
      </c>
      <c r="N446" s="2" t="s">
        <v>1052</v>
      </c>
      <c r="O446" s="2" t="s">
        <v>1058</v>
      </c>
      <c r="P446" t="s">
        <v>1079</v>
      </c>
      <c r="Q446">
        <v>2025</v>
      </c>
    </row>
    <row r="447" spans="1:17" x14ac:dyDescent="0.25">
      <c r="A447" s="1" t="s">
        <v>639</v>
      </c>
      <c r="B447" s="3">
        <v>45837</v>
      </c>
      <c r="C447" s="1" t="s">
        <v>169</v>
      </c>
      <c r="D447" s="1" t="s">
        <v>55</v>
      </c>
      <c r="E447" s="1" t="s">
        <v>67</v>
      </c>
      <c r="F447" s="2">
        <v>38.79</v>
      </c>
      <c r="G447" s="2" t="s">
        <v>90</v>
      </c>
      <c r="H447" s="2">
        <v>17</v>
      </c>
      <c r="I447" s="2">
        <v>659.4</v>
      </c>
      <c r="J447" s="2" t="s">
        <v>18</v>
      </c>
      <c r="K447" s="2" t="s">
        <v>19</v>
      </c>
      <c r="L447" s="2" t="s">
        <v>35</v>
      </c>
      <c r="M447" s="2" t="s">
        <v>52</v>
      </c>
      <c r="N447" s="2" t="s">
        <v>1062</v>
      </c>
      <c r="O447" s="2" t="s">
        <v>1055</v>
      </c>
      <c r="P447" t="s">
        <v>1079</v>
      </c>
      <c r="Q447">
        <v>2025</v>
      </c>
    </row>
    <row r="448" spans="1:17" hidden="1" x14ac:dyDescent="0.25">
      <c r="A448" s="1" t="s">
        <v>640</v>
      </c>
      <c r="B448" s="3">
        <v>45510</v>
      </c>
      <c r="C448" s="1" t="s">
        <v>181</v>
      </c>
      <c r="D448" s="1" t="s">
        <v>39</v>
      </c>
      <c r="E448" s="1" t="s">
        <v>16</v>
      </c>
      <c r="F448" s="2">
        <v>82.13</v>
      </c>
      <c r="G448" s="2" t="s">
        <v>72</v>
      </c>
      <c r="H448" s="2">
        <v>10</v>
      </c>
      <c r="I448" s="2">
        <v>821.27</v>
      </c>
      <c r="J448" s="2" t="s">
        <v>18</v>
      </c>
      <c r="K448" s="2" t="s">
        <v>34</v>
      </c>
      <c r="L448" s="2" t="s">
        <v>27</v>
      </c>
      <c r="M448" s="2" t="s">
        <v>59</v>
      </c>
      <c r="N448" s="2" t="s">
        <v>1051</v>
      </c>
      <c r="O448" s="2" t="s">
        <v>1053</v>
      </c>
      <c r="P448" t="s">
        <v>1079</v>
      </c>
      <c r="Q448">
        <v>2024</v>
      </c>
    </row>
    <row r="449" spans="1:17" hidden="1" x14ac:dyDescent="0.25">
      <c r="A449" s="1" t="s">
        <v>641</v>
      </c>
      <c r="B449" s="3">
        <v>45480</v>
      </c>
      <c r="C449" s="1" t="s">
        <v>54</v>
      </c>
      <c r="D449" s="1" t="s">
        <v>24</v>
      </c>
      <c r="E449" s="1" t="s">
        <v>16</v>
      </c>
      <c r="F449" s="2">
        <v>198.94</v>
      </c>
      <c r="G449" s="2" t="s">
        <v>75</v>
      </c>
      <c r="H449" s="2">
        <v>12</v>
      </c>
      <c r="I449" s="2">
        <v>2387.3200000000002</v>
      </c>
      <c r="J449" s="2" t="s">
        <v>18</v>
      </c>
      <c r="K449" s="2" t="s">
        <v>19</v>
      </c>
      <c r="L449" s="2" t="s">
        <v>41</v>
      </c>
      <c r="M449" s="2" t="s">
        <v>141</v>
      </c>
      <c r="N449" s="2" t="s">
        <v>1052</v>
      </c>
      <c r="O449" s="2" t="s">
        <v>1055</v>
      </c>
      <c r="P449" t="s">
        <v>1079</v>
      </c>
      <c r="Q449">
        <v>2024</v>
      </c>
    </row>
    <row r="450" spans="1:17" hidden="1" x14ac:dyDescent="0.25">
      <c r="A450" s="1" t="s">
        <v>642</v>
      </c>
      <c r="B450" s="3">
        <v>45459</v>
      </c>
      <c r="C450" s="1" t="s">
        <v>281</v>
      </c>
      <c r="D450" s="1" t="s">
        <v>31</v>
      </c>
      <c r="E450" s="1" t="s">
        <v>71</v>
      </c>
      <c r="F450" s="2">
        <v>527.77</v>
      </c>
      <c r="G450" s="2" t="s">
        <v>32</v>
      </c>
      <c r="H450" s="2">
        <v>5</v>
      </c>
      <c r="I450" s="2">
        <v>2638.85</v>
      </c>
      <c r="J450" s="2" t="s">
        <v>63</v>
      </c>
      <c r="K450" s="2" t="s">
        <v>34</v>
      </c>
      <c r="L450" s="2" t="s">
        <v>35</v>
      </c>
      <c r="M450" s="2" t="s">
        <v>126</v>
      </c>
      <c r="N450" s="2" t="s">
        <v>1062</v>
      </c>
      <c r="O450" s="2" t="s">
        <v>1055</v>
      </c>
      <c r="P450" t="s">
        <v>1079</v>
      </c>
      <c r="Q450">
        <v>2024</v>
      </c>
    </row>
    <row r="451" spans="1:17" hidden="1" x14ac:dyDescent="0.25">
      <c r="A451" s="1" t="s">
        <v>643</v>
      </c>
      <c r="B451" s="3">
        <v>45445</v>
      </c>
      <c r="C451" s="1" t="s">
        <v>112</v>
      </c>
      <c r="D451" s="1" t="s">
        <v>15</v>
      </c>
      <c r="E451" s="1" t="s">
        <v>67</v>
      </c>
      <c r="F451" s="2">
        <v>76.5</v>
      </c>
      <c r="G451" s="2" t="s">
        <v>62</v>
      </c>
      <c r="H451" s="2">
        <v>20</v>
      </c>
      <c r="I451" s="2">
        <v>1530</v>
      </c>
      <c r="J451" s="2" t="s">
        <v>18</v>
      </c>
      <c r="K451" s="2" t="s">
        <v>19</v>
      </c>
      <c r="L451" s="2" t="s">
        <v>27</v>
      </c>
      <c r="M451" s="2" t="s">
        <v>28</v>
      </c>
      <c r="N451" s="2" t="s">
        <v>1062</v>
      </c>
      <c r="O451" s="2" t="s">
        <v>1055</v>
      </c>
      <c r="P451" t="s">
        <v>1079</v>
      </c>
      <c r="Q451">
        <v>2024</v>
      </c>
    </row>
    <row r="452" spans="1:17" hidden="1" x14ac:dyDescent="0.25">
      <c r="A452" s="1" t="s">
        <v>644</v>
      </c>
      <c r="B452" s="3">
        <v>45559</v>
      </c>
      <c r="C452" s="1" t="s">
        <v>116</v>
      </c>
      <c r="D452" s="1" t="s">
        <v>15</v>
      </c>
      <c r="E452" s="1" t="s">
        <v>16</v>
      </c>
      <c r="F452" s="2">
        <v>68.569999999999993</v>
      </c>
      <c r="G452" s="2" t="s">
        <v>62</v>
      </c>
      <c r="H452" s="2">
        <v>26</v>
      </c>
      <c r="I452" s="2">
        <v>1782.86</v>
      </c>
      <c r="J452" s="2" t="s">
        <v>18</v>
      </c>
      <c r="K452" s="2" t="s">
        <v>19</v>
      </c>
      <c r="L452" s="2" t="s">
        <v>27</v>
      </c>
      <c r="M452" s="2" t="s">
        <v>59</v>
      </c>
      <c r="N452" s="2" t="s">
        <v>1049</v>
      </c>
      <c r="O452" s="2" t="s">
        <v>1053</v>
      </c>
      <c r="P452" t="s">
        <v>1079</v>
      </c>
      <c r="Q452">
        <v>2024</v>
      </c>
    </row>
    <row r="453" spans="1:17" hidden="1" x14ac:dyDescent="0.25">
      <c r="A453" s="1" t="s">
        <v>645</v>
      </c>
      <c r="B453" s="3">
        <v>45391</v>
      </c>
      <c r="C453" s="1" t="s">
        <v>219</v>
      </c>
      <c r="D453" s="1" t="s">
        <v>39</v>
      </c>
      <c r="E453" s="1" t="s">
        <v>45</v>
      </c>
      <c r="F453" s="2">
        <v>85.99</v>
      </c>
      <c r="G453" s="2" t="s">
        <v>93</v>
      </c>
      <c r="H453" s="2">
        <v>11</v>
      </c>
      <c r="I453" s="2">
        <v>945.87</v>
      </c>
      <c r="J453" s="2" t="s">
        <v>18</v>
      </c>
      <c r="K453" s="2" t="s">
        <v>19</v>
      </c>
      <c r="L453" s="2" t="s">
        <v>47</v>
      </c>
      <c r="M453" s="2" t="s">
        <v>85</v>
      </c>
      <c r="N453" s="2" t="s">
        <v>1048</v>
      </c>
      <c r="O453" s="2" t="s">
        <v>1053</v>
      </c>
      <c r="P453" t="s">
        <v>1079</v>
      </c>
      <c r="Q453">
        <v>2024</v>
      </c>
    </row>
    <row r="454" spans="1:17" hidden="1" x14ac:dyDescent="0.25">
      <c r="A454" s="1" t="s">
        <v>646</v>
      </c>
      <c r="B454" s="3">
        <v>45496</v>
      </c>
      <c r="C454" s="1" t="s">
        <v>533</v>
      </c>
      <c r="D454" s="1" t="s">
        <v>55</v>
      </c>
      <c r="E454" s="1" t="s">
        <v>16</v>
      </c>
      <c r="F454" s="2">
        <v>536.86</v>
      </c>
      <c r="G454" s="2" t="s">
        <v>90</v>
      </c>
      <c r="H454" s="2">
        <v>7</v>
      </c>
      <c r="I454" s="2">
        <v>3758.04</v>
      </c>
      <c r="J454" s="2" t="s">
        <v>18</v>
      </c>
      <c r="K454" s="2" t="s">
        <v>19</v>
      </c>
      <c r="L454" s="2" t="s">
        <v>35</v>
      </c>
      <c r="M454" s="2" t="s">
        <v>126</v>
      </c>
      <c r="N454" s="2" t="s">
        <v>1052</v>
      </c>
      <c r="O454" s="2" t="s">
        <v>1053</v>
      </c>
      <c r="P454" t="s">
        <v>1079</v>
      </c>
      <c r="Q454">
        <v>2024</v>
      </c>
    </row>
    <row r="455" spans="1:17" hidden="1" x14ac:dyDescent="0.25">
      <c r="A455" s="1" t="s">
        <v>647</v>
      </c>
      <c r="B455" s="3">
        <v>45431</v>
      </c>
      <c r="C455" s="1" t="s">
        <v>150</v>
      </c>
      <c r="D455" s="1" t="s">
        <v>24</v>
      </c>
      <c r="E455" s="1" t="s">
        <v>45</v>
      </c>
      <c r="F455" s="2">
        <v>135.61000000000001</v>
      </c>
      <c r="G455" s="2" t="s">
        <v>26</v>
      </c>
      <c r="H455" s="2">
        <v>6</v>
      </c>
      <c r="I455" s="2">
        <v>813.67</v>
      </c>
      <c r="J455" s="2" t="s">
        <v>63</v>
      </c>
      <c r="K455" s="2" t="s">
        <v>34</v>
      </c>
      <c r="L455" s="2" t="s">
        <v>41</v>
      </c>
      <c r="M455" s="2" t="s">
        <v>141</v>
      </c>
      <c r="N455" s="2" t="s">
        <v>1057</v>
      </c>
      <c r="O455" s="2" t="s">
        <v>1055</v>
      </c>
      <c r="P455" t="s">
        <v>1079</v>
      </c>
      <c r="Q455">
        <v>2024</v>
      </c>
    </row>
    <row r="456" spans="1:17" x14ac:dyDescent="0.25">
      <c r="A456" s="1" t="s">
        <v>648</v>
      </c>
      <c r="B456" s="3">
        <v>45719</v>
      </c>
      <c r="C456" s="1" t="s">
        <v>419</v>
      </c>
      <c r="D456" s="1" t="s">
        <v>55</v>
      </c>
      <c r="E456" s="1" t="s">
        <v>71</v>
      </c>
      <c r="F456" s="2">
        <v>2488.09</v>
      </c>
      <c r="G456" s="2" t="s">
        <v>79</v>
      </c>
      <c r="H456" s="2">
        <v>1</v>
      </c>
      <c r="I456" s="2">
        <v>2488.09</v>
      </c>
      <c r="J456" s="2" t="s">
        <v>18</v>
      </c>
      <c r="K456" s="2" t="s">
        <v>34</v>
      </c>
      <c r="L456" s="2" t="s">
        <v>47</v>
      </c>
      <c r="M456" s="2" t="s">
        <v>85</v>
      </c>
      <c r="N456" s="2" t="s">
        <v>1054</v>
      </c>
      <c r="O456" s="2" t="s">
        <v>1056</v>
      </c>
      <c r="P456" t="s">
        <v>1079</v>
      </c>
      <c r="Q456">
        <v>2025</v>
      </c>
    </row>
    <row r="457" spans="1:17" hidden="1" x14ac:dyDescent="0.25">
      <c r="A457" s="1" t="s">
        <v>649</v>
      </c>
      <c r="B457" s="3">
        <v>45437</v>
      </c>
      <c r="C457" s="1" t="s">
        <v>439</v>
      </c>
      <c r="D457" s="1" t="s">
        <v>15</v>
      </c>
      <c r="E457" s="1" t="s">
        <v>45</v>
      </c>
      <c r="F457" s="2">
        <v>231.02</v>
      </c>
      <c r="G457" s="2" t="s">
        <v>82</v>
      </c>
      <c r="H457" s="2">
        <v>7</v>
      </c>
      <c r="I457" s="2">
        <v>1617.15</v>
      </c>
      <c r="J457" s="2" t="s">
        <v>63</v>
      </c>
      <c r="K457" s="2" t="s">
        <v>34</v>
      </c>
      <c r="L457" s="2" t="s">
        <v>20</v>
      </c>
      <c r="M457" s="2" t="s">
        <v>21</v>
      </c>
      <c r="N457" s="2" t="s">
        <v>1057</v>
      </c>
      <c r="O457" s="2" t="s">
        <v>1063</v>
      </c>
      <c r="P457" t="s">
        <v>1079</v>
      </c>
      <c r="Q457">
        <v>2024</v>
      </c>
    </row>
    <row r="458" spans="1:17" hidden="1" x14ac:dyDescent="0.25">
      <c r="A458" s="1" t="s">
        <v>650</v>
      </c>
      <c r="B458" s="3">
        <v>45411</v>
      </c>
      <c r="C458" s="1" t="s">
        <v>95</v>
      </c>
      <c r="D458" s="1" t="s">
        <v>24</v>
      </c>
      <c r="E458" s="1" t="s">
        <v>16</v>
      </c>
      <c r="F458" s="2">
        <v>80.540000000000006</v>
      </c>
      <c r="G458" s="2" t="s">
        <v>26</v>
      </c>
      <c r="H458" s="2">
        <v>13</v>
      </c>
      <c r="I458" s="2">
        <v>1047.01</v>
      </c>
      <c r="J458" s="2" t="s">
        <v>63</v>
      </c>
      <c r="K458" s="2" t="s">
        <v>19</v>
      </c>
      <c r="L458" s="2" t="s">
        <v>20</v>
      </c>
      <c r="M458" s="2" t="s">
        <v>88</v>
      </c>
      <c r="N458" s="2" t="s">
        <v>1048</v>
      </c>
      <c r="O458" s="2" t="s">
        <v>1056</v>
      </c>
      <c r="P458" t="s">
        <v>1079</v>
      </c>
      <c r="Q458">
        <v>2024</v>
      </c>
    </row>
    <row r="459" spans="1:17" hidden="1" x14ac:dyDescent="0.25">
      <c r="A459" s="1" t="s">
        <v>651</v>
      </c>
      <c r="B459" s="3">
        <v>45438</v>
      </c>
      <c r="C459" s="1" t="s">
        <v>184</v>
      </c>
      <c r="D459" s="1" t="s">
        <v>31</v>
      </c>
      <c r="E459" s="1" t="s">
        <v>16</v>
      </c>
      <c r="F459" s="2">
        <v>99.33</v>
      </c>
      <c r="G459" s="2" t="s">
        <v>98</v>
      </c>
      <c r="H459" s="2">
        <v>15</v>
      </c>
      <c r="I459" s="2">
        <v>1490</v>
      </c>
      <c r="J459" s="2" t="s">
        <v>18</v>
      </c>
      <c r="K459" s="2" t="s">
        <v>19</v>
      </c>
      <c r="L459" s="2" t="s">
        <v>41</v>
      </c>
      <c r="M459" s="2" t="s">
        <v>42</v>
      </c>
      <c r="N459" s="2" t="s">
        <v>1057</v>
      </c>
      <c r="O459" s="2" t="s">
        <v>1055</v>
      </c>
      <c r="P459" t="s">
        <v>1079</v>
      </c>
      <c r="Q459">
        <v>2024</v>
      </c>
    </row>
    <row r="460" spans="1:17" x14ac:dyDescent="0.25">
      <c r="A460" s="1" t="s">
        <v>652</v>
      </c>
      <c r="B460" s="3">
        <v>45937</v>
      </c>
      <c r="C460" s="1" t="s">
        <v>95</v>
      </c>
      <c r="D460" s="1" t="s">
        <v>15</v>
      </c>
      <c r="E460" s="1" t="s">
        <v>16</v>
      </c>
      <c r="F460" s="2">
        <v>362.55</v>
      </c>
      <c r="G460" s="2" t="s">
        <v>17</v>
      </c>
      <c r="H460" s="2">
        <v>8</v>
      </c>
      <c r="I460" s="2">
        <v>2900.36</v>
      </c>
      <c r="J460" s="2" t="s">
        <v>63</v>
      </c>
      <c r="K460" s="2" t="s">
        <v>34</v>
      </c>
      <c r="L460" s="2" t="s">
        <v>35</v>
      </c>
      <c r="M460" s="2" t="s">
        <v>52</v>
      </c>
      <c r="N460" s="2" t="s">
        <v>1046</v>
      </c>
      <c r="O460" s="2" t="s">
        <v>1053</v>
      </c>
      <c r="P460" t="s">
        <v>1079</v>
      </c>
      <c r="Q460">
        <v>2025</v>
      </c>
    </row>
    <row r="461" spans="1:17" x14ac:dyDescent="0.25">
      <c r="A461" s="1" t="s">
        <v>653</v>
      </c>
      <c r="B461" s="3">
        <v>45668</v>
      </c>
      <c r="C461" s="1" t="s">
        <v>97</v>
      </c>
      <c r="D461" s="1" t="s">
        <v>39</v>
      </c>
      <c r="E461" s="1" t="s">
        <v>25</v>
      </c>
      <c r="F461" s="2">
        <v>167.88</v>
      </c>
      <c r="G461" s="2" t="s">
        <v>40</v>
      </c>
      <c r="H461" s="2">
        <v>8</v>
      </c>
      <c r="I461" s="2">
        <v>1343</v>
      </c>
      <c r="J461" s="2" t="s">
        <v>33</v>
      </c>
      <c r="K461" s="2" t="s">
        <v>34</v>
      </c>
      <c r="L461" s="2" t="s">
        <v>27</v>
      </c>
      <c r="M461" s="2" t="s">
        <v>161</v>
      </c>
      <c r="N461" s="2" t="s">
        <v>1050</v>
      </c>
      <c r="O461" s="2" t="s">
        <v>1063</v>
      </c>
      <c r="P461" t="s">
        <v>1079</v>
      </c>
      <c r="Q461">
        <v>2025</v>
      </c>
    </row>
    <row r="462" spans="1:17" hidden="1" x14ac:dyDescent="0.25">
      <c r="A462" s="1" t="s">
        <v>654</v>
      </c>
      <c r="B462" s="3">
        <v>45450</v>
      </c>
      <c r="C462" s="1" t="s">
        <v>143</v>
      </c>
      <c r="D462" s="1" t="s">
        <v>24</v>
      </c>
      <c r="E462" s="1" t="s">
        <v>16</v>
      </c>
      <c r="F462" s="2">
        <v>117.24</v>
      </c>
      <c r="G462" s="2" t="s">
        <v>75</v>
      </c>
      <c r="H462" s="2">
        <v>11</v>
      </c>
      <c r="I462" s="2">
        <v>1289.6099999999999</v>
      </c>
      <c r="J462" s="2" t="s">
        <v>33</v>
      </c>
      <c r="K462" s="2" t="s">
        <v>19</v>
      </c>
      <c r="L462" s="2" t="s">
        <v>35</v>
      </c>
      <c r="M462" s="2" t="s">
        <v>126</v>
      </c>
      <c r="N462" s="2" t="s">
        <v>1062</v>
      </c>
      <c r="O462" s="2" t="s">
        <v>1058</v>
      </c>
      <c r="P462" t="s">
        <v>1079</v>
      </c>
      <c r="Q462">
        <v>2024</v>
      </c>
    </row>
    <row r="463" spans="1:17" x14ac:dyDescent="0.25">
      <c r="A463" s="1" t="s">
        <v>655</v>
      </c>
      <c r="B463" s="3">
        <v>45802</v>
      </c>
      <c r="C463" s="1" t="s">
        <v>348</v>
      </c>
      <c r="D463" s="1" t="s">
        <v>39</v>
      </c>
      <c r="E463" s="1" t="s">
        <v>45</v>
      </c>
      <c r="F463" s="2">
        <v>155.74</v>
      </c>
      <c r="G463" s="2" t="s">
        <v>1083</v>
      </c>
      <c r="H463" s="2">
        <v>18</v>
      </c>
      <c r="I463" s="2">
        <v>2803.32</v>
      </c>
      <c r="J463" s="2" t="s">
        <v>33</v>
      </c>
      <c r="K463" s="2" t="s">
        <v>19</v>
      </c>
      <c r="L463" s="2" t="s">
        <v>47</v>
      </c>
      <c r="M463" s="2" t="s">
        <v>85</v>
      </c>
      <c r="N463" s="2" t="s">
        <v>1057</v>
      </c>
      <c r="O463" s="2" t="s">
        <v>1055</v>
      </c>
      <c r="P463" t="s">
        <v>1079</v>
      </c>
      <c r="Q463">
        <v>2025</v>
      </c>
    </row>
    <row r="464" spans="1:17" x14ac:dyDescent="0.25">
      <c r="A464" s="1" t="s">
        <v>656</v>
      </c>
      <c r="B464" s="3">
        <v>45960</v>
      </c>
      <c r="C464" s="1" t="s">
        <v>114</v>
      </c>
      <c r="D464" s="1" t="s">
        <v>15</v>
      </c>
      <c r="E464" s="1" t="s">
        <v>16</v>
      </c>
      <c r="F464" s="2">
        <v>63.71</v>
      </c>
      <c r="G464" s="2" t="s">
        <v>51</v>
      </c>
      <c r="H464" s="2">
        <v>21</v>
      </c>
      <c r="I464" s="2">
        <v>1337.91</v>
      </c>
      <c r="J464" s="2" t="s">
        <v>33</v>
      </c>
      <c r="K464" s="2" t="s">
        <v>19</v>
      </c>
      <c r="L464" s="2" t="s">
        <v>27</v>
      </c>
      <c r="M464" s="2" t="s">
        <v>28</v>
      </c>
      <c r="N464" s="2" t="s">
        <v>1046</v>
      </c>
      <c r="O464" s="2" t="s">
        <v>1047</v>
      </c>
      <c r="P464" t="s">
        <v>1079</v>
      </c>
      <c r="Q464">
        <v>2025</v>
      </c>
    </row>
    <row r="465" spans="1:17" x14ac:dyDescent="0.25">
      <c r="A465" s="1" t="s">
        <v>657</v>
      </c>
      <c r="B465" s="3">
        <v>45913</v>
      </c>
      <c r="C465" s="1" t="s">
        <v>204</v>
      </c>
      <c r="D465" s="1" t="s">
        <v>39</v>
      </c>
      <c r="E465" s="1" t="s">
        <v>67</v>
      </c>
      <c r="F465" s="2">
        <v>94.71</v>
      </c>
      <c r="G465" s="2" t="s">
        <v>40</v>
      </c>
      <c r="H465" s="2">
        <v>16</v>
      </c>
      <c r="I465" s="2">
        <v>1515.39</v>
      </c>
      <c r="J465" s="2" t="s">
        <v>18</v>
      </c>
      <c r="K465" s="2" t="s">
        <v>19</v>
      </c>
      <c r="L465" s="2" t="s">
        <v>27</v>
      </c>
      <c r="M465" s="2" t="s">
        <v>161</v>
      </c>
      <c r="N465" s="2" t="s">
        <v>1049</v>
      </c>
      <c r="O465" s="2" t="s">
        <v>1063</v>
      </c>
      <c r="P465" t="s">
        <v>1079</v>
      </c>
      <c r="Q465">
        <v>2025</v>
      </c>
    </row>
    <row r="466" spans="1:17" x14ac:dyDescent="0.25">
      <c r="A466" s="1" t="s">
        <v>658</v>
      </c>
      <c r="B466" s="3">
        <v>45874</v>
      </c>
      <c r="C466" s="1" t="s">
        <v>375</v>
      </c>
      <c r="D466" s="1" t="s">
        <v>15</v>
      </c>
      <c r="E466" s="1" t="s">
        <v>25</v>
      </c>
      <c r="F466" s="2">
        <v>160.91999999999999</v>
      </c>
      <c r="G466" s="2" t="s">
        <v>62</v>
      </c>
      <c r="H466" s="2">
        <v>13</v>
      </c>
      <c r="I466" s="2">
        <v>2092</v>
      </c>
      <c r="J466" s="2" t="s">
        <v>18</v>
      </c>
      <c r="K466" s="2" t="s">
        <v>19</v>
      </c>
      <c r="L466" s="2" t="s">
        <v>27</v>
      </c>
      <c r="M466" s="2" t="s">
        <v>59</v>
      </c>
      <c r="N466" s="2" t="s">
        <v>1051</v>
      </c>
      <c r="O466" s="2" t="s">
        <v>1053</v>
      </c>
      <c r="P466" t="s">
        <v>1079</v>
      </c>
      <c r="Q466">
        <v>2025</v>
      </c>
    </row>
    <row r="467" spans="1:17" hidden="1" x14ac:dyDescent="0.25">
      <c r="A467" s="1" t="s">
        <v>659</v>
      </c>
      <c r="B467" s="3">
        <v>45341</v>
      </c>
      <c r="C467" s="1" t="s">
        <v>116</v>
      </c>
      <c r="D467" s="1" t="s">
        <v>15</v>
      </c>
      <c r="E467" s="1" t="s">
        <v>71</v>
      </c>
      <c r="F467" s="2">
        <v>110.17</v>
      </c>
      <c r="G467" s="2" t="s">
        <v>62</v>
      </c>
      <c r="H467" s="2">
        <v>12</v>
      </c>
      <c r="I467" s="2">
        <v>1322</v>
      </c>
      <c r="J467" s="2" t="s">
        <v>18</v>
      </c>
      <c r="K467" s="2" t="s">
        <v>19</v>
      </c>
      <c r="L467" s="2" t="s">
        <v>27</v>
      </c>
      <c r="M467" s="2" t="s">
        <v>28</v>
      </c>
      <c r="N467" s="2" t="s">
        <v>1060</v>
      </c>
      <c r="O467" s="2" t="s">
        <v>1056</v>
      </c>
      <c r="P467" t="s">
        <v>1079</v>
      </c>
      <c r="Q467">
        <v>2024</v>
      </c>
    </row>
    <row r="468" spans="1:17" hidden="1" x14ac:dyDescent="0.25">
      <c r="A468" s="1" t="s">
        <v>660</v>
      </c>
      <c r="B468" s="3">
        <v>45537</v>
      </c>
      <c r="C468" s="1" t="s">
        <v>286</v>
      </c>
      <c r="D468" s="1" t="s">
        <v>15</v>
      </c>
      <c r="E468" s="1" t="s">
        <v>25</v>
      </c>
      <c r="F468" s="2">
        <v>45.78</v>
      </c>
      <c r="G468" s="2" t="s">
        <v>51</v>
      </c>
      <c r="H468" s="2">
        <v>16</v>
      </c>
      <c r="I468" s="2">
        <v>732.44</v>
      </c>
      <c r="J468" s="2" t="s">
        <v>18</v>
      </c>
      <c r="K468" s="2" t="s">
        <v>19</v>
      </c>
      <c r="L468" s="2" t="s">
        <v>41</v>
      </c>
      <c r="M468" s="2" t="s">
        <v>42</v>
      </c>
      <c r="N468" s="2" t="s">
        <v>1049</v>
      </c>
      <c r="O468" s="2" t="s">
        <v>1056</v>
      </c>
      <c r="P468" t="s">
        <v>1079</v>
      </c>
      <c r="Q468">
        <v>2024</v>
      </c>
    </row>
    <row r="469" spans="1:17" x14ac:dyDescent="0.25">
      <c r="A469" s="1" t="s">
        <v>661</v>
      </c>
      <c r="B469" s="3">
        <v>45809</v>
      </c>
      <c r="C469" s="1" t="s">
        <v>662</v>
      </c>
      <c r="D469" s="1" t="s">
        <v>15</v>
      </c>
      <c r="E469" s="1" t="s">
        <v>25</v>
      </c>
      <c r="F469" s="2">
        <v>134.59</v>
      </c>
      <c r="G469" s="2" t="s">
        <v>82</v>
      </c>
      <c r="H469" s="2">
        <v>14</v>
      </c>
      <c r="I469" s="2">
        <v>1884.19</v>
      </c>
      <c r="J469" s="2" t="s">
        <v>18</v>
      </c>
      <c r="K469" s="2" t="s">
        <v>19</v>
      </c>
      <c r="L469" s="2" t="s">
        <v>20</v>
      </c>
      <c r="M469" s="2" t="s">
        <v>64</v>
      </c>
      <c r="N469" s="2" t="s">
        <v>1062</v>
      </c>
      <c r="O469" s="2" t="s">
        <v>1055</v>
      </c>
      <c r="P469" t="s">
        <v>1079</v>
      </c>
      <c r="Q469">
        <v>2025</v>
      </c>
    </row>
    <row r="470" spans="1:17" hidden="1" x14ac:dyDescent="0.25">
      <c r="A470" s="1" t="s">
        <v>663</v>
      </c>
      <c r="B470" s="3">
        <v>45646</v>
      </c>
      <c r="C470" s="1" t="s">
        <v>128</v>
      </c>
      <c r="D470" s="1" t="s">
        <v>55</v>
      </c>
      <c r="E470" s="1" t="s">
        <v>16</v>
      </c>
      <c r="F470" s="2">
        <v>189.24</v>
      </c>
      <c r="G470" s="2" t="s">
        <v>56</v>
      </c>
      <c r="H470" s="2">
        <v>11</v>
      </c>
      <c r="I470" s="2">
        <v>2081.69</v>
      </c>
      <c r="J470" s="2" t="s">
        <v>63</v>
      </c>
      <c r="K470" s="2" t="s">
        <v>19</v>
      </c>
      <c r="L470" s="2" t="s">
        <v>47</v>
      </c>
      <c r="M470" s="2" t="s">
        <v>85</v>
      </c>
      <c r="N470" s="2" t="s">
        <v>1061</v>
      </c>
      <c r="O470" s="2" t="s">
        <v>1058</v>
      </c>
      <c r="P470" t="s">
        <v>1079</v>
      </c>
      <c r="Q470">
        <v>2024</v>
      </c>
    </row>
    <row r="471" spans="1:17" x14ac:dyDescent="0.25">
      <c r="A471" s="1" t="s">
        <v>664</v>
      </c>
      <c r="B471" s="3">
        <v>45958</v>
      </c>
      <c r="C471" s="1" t="s">
        <v>87</v>
      </c>
      <c r="D471" s="1" t="s">
        <v>55</v>
      </c>
      <c r="E471" s="1" t="s">
        <v>67</v>
      </c>
      <c r="F471" s="2">
        <v>180.87</v>
      </c>
      <c r="G471" s="2" t="s">
        <v>148</v>
      </c>
      <c r="H471" s="2">
        <v>12</v>
      </c>
      <c r="I471" s="2">
        <v>2170.42</v>
      </c>
      <c r="J471" s="2" t="s">
        <v>63</v>
      </c>
      <c r="K471" s="2" t="s">
        <v>19</v>
      </c>
      <c r="L471" s="2" t="s">
        <v>20</v>
      </c>
      <c r="M471" s="2" t="s">
        <v>64</v>
      </c>
      <c r="N471" s="2" t="s">
        <v>1046</v>
      </c>
      <c r="O471" s="2" t="s">
        <v>1053</v>
      </c>
      <c r="P471" t="s">
        <v>1079</v>
      </c>
      <c r="Q471">
        <v>2025</v>
      </c>
    </row>
    <row r="472" spans="1:17" x14ac:dyDescent="0.25">
      <c r="A472" s="1" t="s">
        <v>665</v>
      </c>
      <c r="B472" s="3">
        <v>45703</v>
      </c>
      <c r="C472" s="1" t="s">
        <v>92</v>
      </c>
      <c r="D472" s="1" t="s">
        <v>39</v>
      </c>
      <c r="E472" s="1" t="s">
        <v>16</v>
      </c>
      <c r="F472" s="2">
        <v>124.11</v>
      </c>
      <c r="G472" s="2" t="s">
        <v>72</v>
      </c>
      <c r="H472" s="2">
        <v>8</v>
      </c>
      <c r="I472" s="2">
        <v>992.89</v>
      </c>
      <c r="J472" s="2" t="s">
        <v>18</v>
      </c>
      <c r="K472" s="2" t="s">
        <v>34</v>
      </c>
      <c r="L472" s="2" t="s">
        <v>35</v>
      </c>
      <c r="M472" s="2" t="s">
        <v>36</v>
      </c>
      <c r="N472" s="2" t="s">
        <v>1060</v>
      </c>
      <c r="O472" s="2" t="s">
        <v>1063</v>
      </c>
      <c r="P472" t="s">
        <v>1079</v>
      </c>
      <c r="Q472">
        <v>2025</v>
      </c>
    </row>
    <row r="473" spans="1:17" hidden="1" x14ac:dyDescent="0.25">
      <c r="A473" s="1" t="s">
        <v>666</v>
      </c>
      <c r="B473" s="3">
        <v>45562</v>
      </c>
      <c r="C473" s="1" t="s">
        <v>23</v>
      </c>
      <c r="D473" s="1" t="s">
        <v>55</v>
      </c>
      <c r="E473" s="1" t="s">
        <v>71</v>
      </c>
      <c r="F473" s="2">
        <v>178.26</v>
      </c>
      <c r="G473" s="2" t="s">
        <v>79</v>
      </c>
      <c r="H473" s="2">
        <v>11</v>
      </c>
      <c r="I473" s="2">
        <v>1960.86</v>
      </c>
      <c r="J473" s="2" t="s">
        <v>63</v>
      </c>
      <c r="K473" s="2" t="s">
        <v>19</v>
      </c>
      <c r="L473" s="2" t="s">
        <v>20</v>
      </c>
      <c r="M473" s="2" t="s">
        <v>64</v>
      </c>
      <c r="N473" s="2" t="s">
        <v>1049</v>
      </c>
      <c r="O473" s="2" t="s">
        <v>1058</v>
      </c>
      <c r="P473" t="s">
        <v>1079</v>
      </c>
      <c r="Q473">
        <v>2024</v>
      </c>
    </row>
    <row r="474" spans="1:17" x14ac:dyDescent="0.25">
      <c r="A474" s="1" t="s">
        <v>667</v>
      </c>
      <c r="B474" s="3">
        <v>45917</v>
      </c>
      <c r="C474" s="1" t="s">
        <v>668</v>
      </c>
      <c r="D474" s="1" t="s">
        <v>55</v>
      </c>
      <c r="E474" s="1" t="s">
        <v>45</v>
      </c>
      <c r="F474" s="2">
        <v>26.92</v>
      </c>
      <c r="G474" s="2" t="s">
        <v>148</v>
      </c>
      <c r="H474" s="2">
        <v>19</v>
      </c>
      <c r="I474" s="2">
        <v>511.43</v>
      </c>
      <c r="J474" s="2" t="s">
        <v>18</v>
      </c>
      <c r="K474" s="2" t="s">
        <v>19</v>
      </c>
      <c r="L474" s="2" t="s">
        <v>35</v>
      </c>
      <c r="M474" s="2" t="s">
        <v>52</v>
      </c>
      <c r="N474" s="2" t="s">
        <v>1049</v>
      </c>
      <c r="O474" s="2" t="s">
        <v>1059</v>
      </c>
      <c r="P474" t="s">
        <v>1079</v>
      </c>
      <c r="Q474">
        <v>2025</v>
      </c>
    </row>
    <row r="475" spans="1:17" x14ac:dyDescent="0.25">
      <c r="A475" s="1" t="s">
        <v>669</v>
      </c>
      <c r="B475" s="3">
        <v>45803</v>
      </c>
      <c r="C475" s="1" t="s">
        <v>248</v>
      </c>
      <c r="D475" s="1" t="s">
        <v>24</v>
      </c>
      <c r="E475" s="1" t="s">
        <v>16</v>
      </c>
      <c r="F475" s="2">
        <v>191.85</v>
      </c>
      <c r="G475" s="2" t="s">
        <v>75</v>
      </c>
      <c r="H475" s="2">
        <v>7</v>
      </c>
      <c r="I475" s="2">
        <v>1342.95</v>
      </c>
      <c r="J475" s="2" t="s">
        <v>18</v>
      </c>
      <c r="K475" s="2" t="s">
        <v>34</v>
      </c>
      <c r="L475" s="2" t="s">
        <v>20</v>
      </c>
      <c r="M475" s="2" t="s">
        <v>21</v>
      </c>
      <c r="N475" s="2" t="s">
        <v>1057</v>
      </c>
      <c r="O475" s="2" t="s">
        <v>1056</v>
      </c>
      <c r="P475" t="s">
        <v>1079</v>
      </c>
      <c r="Q475">
        <v>2025</v>
      </c>
    </row>
    <row r="476" spans="1:17" hidden="1" x14ac:dyDescent="0.25">
      <c r="A476" s="1" t="s">
        <v>670</v>
      </c>
      <c r="B476" s="3">
        <v>45495</v>
      </c>
      <c r="C476" s="1" t="s">
        <v>462</v>
      </c>
      <c r="D476" s="1" t="s">
        <v>24</v>
      </c>
      <c r="E476" s="1" t="s">
        <v>45</v>
      </c>
      <c r="F476" s="2">
        <v>434.35</v>
      </c>
      <c r="G476" s="2" t="s">
        <v>170</v>
      </c>
      <c r="H476" s="2">
        <v>6</v>
      </c>
      <c r="I476" s="2">
        <v>2606.0700000000002</v>
      </c>
      <c r="J476" s="2" t="s">
        <v>18</v>
      </c>
      <c r="K476" s="2" t="s">
        <v>34</v>
      </c>
      <c r="L476" s="2" t="s">
        <v>47</v>
      </c>
      <c r="M476" s="2" t="s">
        <v>48</v>
      </c>
      <c r="N476" s="2" t="s">
        <v>1052</v>
      </c>
      <c r="O476" s="2" t="s">
        <v>1056</v>
      </c>
      <c r="P476" t="s">
        <v>1079</v>
      </c>
      <c r="Q476">
        <v>2024</v>
      </c>
    </row>
    <row r="477" spans="1:17" x14ac:dyDescent="0.25">
      <c r="A477" s="1" t="s">
        <v>671</v>
      </c>
      <c r="B477" s="3">
        <v>45934</v>
      </c>
      <c r="C477" s="1" t="s">
        <v>672</v>
      </c>
      <c r="D477" s="1" t="s">
        <v>31</v>
      </c>
      <c r="E477" s="1" t="s">
        <v>45</v>
      </c>
      <c r="F477" s="2">
        <v>161.51</v>
      </c>
      <c r="G477" s="2" t="s">
        <v>32</v>
      </c>
      <c r="H477" s="2">
        <v>14</v>
      </c>
      <c r="I477" s="2">
        <v>2261.08</v>
      </c>
      <c r="J477" s="2" t="s">
        <v>18</v>
      </c>
      <c r="K477" s="2" t="s">
        <v>19</v>
      </c>
      <c r="L477" s="2" t="s">
        <v>47</v>
      </c>
      <c r="M477" s="2" t="s">
        <v>48</v>
      </c>
      <c r="N477" s="2" t="s">
        <v>1046</v>
      </c>
      <c r="O477" s="2" t="s">
        <v>1063</v>
      </c>
      <c r="P477" t="s">
        <v>1079</v>
      </c>
      <c r="Q477">
        <v>2025</v>
      </c>
    </row>
    <row r="478" spans="1:17" hidden="1" x14ac:dyDescent="0.25">
      <c r="A478" s="1" t="s">
        <v>673</v>
      </c>
      <c r="B478" s="3">
        <v>45598</v>
      </c>
      <c r="C478" s="1" t="s">
        <v>294</v>
      </c>
      <c r="D478" s="1" t="s">
        <v>39</v>
      </c>
      <c r="E478" s="1" t="s">
        <v>25</v>
      </c>
      <c r="F478" s="2">
        <v>70.63</v>
      </c>
      <c r="G478" s="2" t="s">
        <v>72</v>
      </c>
      <c r="H478" s="2">
        <v>19</v>
      </c>
      <c r="I478" s="2">
        <v>1342</v>
      </c>
      <c r="J478" s="2" t="s">
        <v>63</v>
      </c>
      <c r="K478" s="2" t="s">
        <v>19</v>
      </c>
      <c r="L478" s="2" t="s">
        <v>35</v>
      </c>
      <c r="M478" s="2" t="s">
        <v>36</v>
      </c>
      <c r="N478" s="2" t="s">
        <v>1064</v>
      </c>
      <c r="O478" s="2" t="s">
        <v>1063</v>
      </c>
      <c r="P478" t="s">
        <v>1079</v>
      </c>
      <c r="Q478">
        <v>2024</v>
      </c>
    </row>
    <row r="479" spans="1:17" x14ac:dyDescent="0.25">
      <c r="A479" s="1" t="s">
        <v>674</v>
      </c>
      <c r="B479" s="3">
        <v>45847</v>
      </c>
      <c r="C479" s="1" t="s">
        <v>292</v>
      </c>
      <c r="D479" s="1" t="s">
        <v>31</v>
      </c>
      <c r="E479" s="1" t="s">
        <v>71</v>
      </c>
      <c r="F479" s="2">
        <v>96.08</v>
      </c>
      <c r="G479" s="2" t="s">
        <v>32</v>
      </c>
      <c r="H479" s="2">
        <v>22</v>
      </c>
      <c r="I479" s="2">
        <v>2113.8200000000002</v>
      </c>
      <c r="J479" s="2" t="s">
        <v>18</v>
      </c>
      <c r="K479" s="2" t="s">
        <v>19</v>
      </c>
      <c r="L479" s="2" t="s">
        <v>27</v>
      </c>
      <c r="M479" s="2" t="s">
        <v>161</v>
      </c>
      <c r="N479" s="2" t="s">
        <v>1052</v>
      </c>
      <c r="O479" s="2" t="s">
        <v>1059</v>
      </c>
      <c r="P479" t="s">
        <v>1079</v>
      </c>
      <c r="Q479">
        <v>2025</v>
      </c>
    </row>
    <row r="480" spans="1:17" hidden="1" x14ac:dyDescent="0.25">
      <c r="A480" s="1" t="s">
        <v>675</v>
      </c>
      <c r="B480" s="3">
        <v>45451</v>
      </c>
      <c r="C480" s="1" t="s">
        <v>431</v>
      </c>
      <c r="D480" s="1" t="s">
        <v>39</v>
      </c>
      <c r="E480" s="1" t="s">
        <v>45</v>
      </c>
      <c r="F480" s="2">
        <v>74.23</v>
      </c>
      <c r="G480" s="2" t="s">
        <v>136</v>
      </c>
      <c r="H480" s="2">
        <v>18</v>
      </c>
      <c r="I480" s="2">
        <v>1336.23</v>
      </c>
      <c r="J480" s="2" t="s">
        <v>18</v>
      </c>
      <c r="K480" s="2" t="s">
        <v>19</v>
      </c>
      <c r="L480" s="2" t="s">
        <v>41</v>
      </c>
      <c r="M480" s="2" t="s">
        <v>42</v>
      </c>
      <c r="N480" s="2" t="s">
        <v>1062</v>
      </c>
      <c r="O480" s="2" t="s">
        <v>1063</v>
      </c>
      <c r="P480" t="s">
        <v>1079</v>
      </c>
      <c r="Q480">
        <v>2024</v>
      </c>
    </row>
    <row r="481" spans="1:17" x14ac:dyDescent="0.25">
      <c r="A481" s="1" t="s">
        <v>676</v>
      </c>
      <c r="B481" s="3">
        <v>45891</v>
      </c>
      <c r="C481" s="1" t="s">
        <v>264</v>
      </c>
      <c r="D481" s="1" t="s">
        <v>39</v>
      </c>
      <c r="E481" s="1" t="s">
        <v>71</v>
      </c>
      <c r="F481" s="2">
        <v>84.38</v>
      </c>
      <c r="G481" s="2" t="s">
        <v>93</v>
      </c>
      <c r="H481" s="2">
        <v>17</v>
      </c>
      <c r="I481" s="2">
        <v>1434.48</v>
      </c>
      <c r="J481" s="2" t="s">
        <v>33</v>
      </c>
      <c r="K481" s="2" t="s">
        <v>19</v>
      </c>
      <c r="L481" s="2" t="s">
        <v>47</v>
      </c>
      <c r="M481" s="2" t="s">
        <v>85</v>
      </c>
      <c r="N481" s="2" t="s">
        <v>1051</v>
      </c>
      <c r="O481" s="2" t="s">
        <v>1058</v>
      </c>
      <c r="P481" t="s">
        <v>1079</v>
      </c>
      <c r="Q481">
        <v>2025</v>
      </c>
    </row>
    <row r="482" spans="1:17" x14ac:dyDescent="0.25">
      <c r="A482" s="1" t="s">
        <v>677</v>
      </c>
      <c r="B482" s="3">
        <v>45945</v>
      </c>
      <c r="C482" s="1" t="s">
        <v>678</v>
      </c>
      <c r="D482" s="1" t="s">
        <v>39</v>
      </c>
      <c r="E482" s="1" t="s">
        <v>45</v>
      </c>
      <c r="F482" s="2">
        <v>57.2</v>
      </c>
      <c r="G482" s="2" t="s">
        <v>136</v>
      </c>
      <c r="H482" s="2">
        <v>14</v>
      </c>
      <c r="I482" s="2">
        <v>800.75</v>
      </c>
      <c r="J482" s="2" t="s">
        <v>18</v>
      </c>
      <c r="K482" s="2" t="s">
        <v>19</v>
      </c>
      <c r="L482" s="2" t="s">
        <v>35</v>
      </c>
      <c r="M482" s="2" t="s">
        <v>36</v>
      </c>
      <c r="N482" s="2" t="s">
        <v>1046</v>
      </c>
      <c r="O482" s="2" t="s">
        <v>1059</v>
      </c>
      <c r="P482" t="s">
        <v>1079</v>
      </c>
      <c r="Q482">
        <v>2025</v>
      </c>
    </row>
    <row r="483" spans="1:17" x14ac:dyDescent="0.25">
      <c r="A483" s="1" t="s">
        <v>679</v>
      </c>
      <c r="B483" s="3">
        <v>45710</v>
      </c>
      <c r="C483" s="1" t="s">
        <v>290</v>
      </c>
      <c r="D483" s="1" t="s">
        <v>39</v>
      </c>
      <c r="E483" s="1" t="s">
        <v>67</v>
      </c>
      <c r="F483" s="2">
        <v>106.04</v>
      </c>
      <c r="G483" s="2" t="s">
        <v>93</v>
      </c>
      <c r="H483" s="2">
        <v>20</v>
      </c>
      <c r="I483" s="2">
        <v>2120.7399999999998</v>
      </c>
      <c r="J483" s="2" t="s">
        <v>18</v>
      </c>
      <c r="K483" s="2" t="s">
        <v>19</v>
      </c>
      <c r="L483" s="2" t="s">
        <v>27</v>
      </c>
      <c r="M483" s="2" t="s">
        <v>59</v>
      </c>
      <c r="N483" s="2" t="s">
        <v>1060</v>
      </c>
      <c r="O483" s="2" t="s">
        <v>1063</v>
      </c>
      <c r="P483" t="s">
        <v>1079</v>
      </c>
      <c r="Q483">
        <v>2025</v>
      </c>
    </row>
    <row r="484" spans="1:17" hidden="1" x14ac:dyDescent="0.25">
      <c r="A484" s="1" t="s">
        <v>680</v>
      </c>
      <c r="B484" s="3">
        <v>45296</v>
      </c>
      <c r="C484" s="1" t="s">
        <v>681</v>
      </c>
      <c r="D484" s="1" t="s">
        <v>31</v>
      </c>
      <c r="E484" s="1" t="s">
        <v>25</v>
      </c>
      <c r="F484" s="2">
        <v>36.58</v>
      </c>
      <c r="G484" s="2" t="s">
        <v>46</v>
      </c>
      <c r="H484" s="2">
        <v>23</v>
      </c>
      <c r="I484" s="2">
        <v>841.25</v>
      </c>
      <c r="J484" s="2" t="s">
        <v>18</v>
      </c>
      <c r="K484" s="2" t="s">
        <v>19</v>
      </c>
      <c r="L484" s="2" t="s">
        <v>20</v>
      </c>
      <c r="M484" s="2" t="s">
        <v>21</v>
      </c>
      <c r="N484" s="2" t="s">
        <v>1050</v>
      </c>
      <c r="O484" s="2" t="s">
        <v>1058</v>
      </c>
      <c r="P484" t="s">
        <v>1079</v>
      </c>
      <c r="Q484">
        <v>2024</v>
      </c>
    </row>
    <row r="485" spans="1:17" x14ac:dyDescent="0.25">
      <c r="A485" s="1" t="s">
        <v>682</v>
      </c>
      <c r="B485" s="3">
        <v>45762</v>
      </c>
      <c r="C485" s="1" t="s">
        <v>683</v>
      </c>
      <c r="D485" s="1" t="s">
        <v>39</v>
      </c>
      <c r="E485" s="1" t="s">
        <v>16</v>
      </c>
      <c r="F485" s="2">
        <v>120.14</v>
      </c>
      <c r="G485" s="2" t="s">
        <v>93</v>
      </c>
      <c r="H485" s="2">
        <v>10</v>
      </c>
      <c r="I485" s="2">
        <v>1201.3800000000001</v>
      </c>
      <c r="J485" s="2" t="s">
        <v>33</v>
      </c>
      <c r="K485" s="2" t="s">
        <v>34</v>
      </c>
      <c r="L485" s="2" t="s">
        <v>47</v>
      </c>
      <c r="M485" s="2" t="s">
        <v>85</v>
      </c>
      <c r="N485" s="2" t="s">
        <v>1048</v>
      </c>
      <c r="O485" s="2" t="s">
        <v>1053</v>
      </c>
      <c r="P485" t="s">
        <v>1079</v>
      </c>
      <c r="Q485">
        <v>2025</v>
      </c>
    </row>
    <row r="486" spans="1:17" x14ac:dyDescent="0.25">
      <c r="A486" s="1" t="s">
        <v>684</v>
      </c>
      <c r="B486" s="3">
        <v>45773</v>
      </c>
      <c r="C486" s="1" t="s">
        <v>281</v>
      </c>
      <c r="D486" s="1" t="s">
        <v>31</v>
      </c>
      <c r="E486" s="1" t="s">
        <v>67</v>
      </c>
      <c r="F486" s="2">
        <v>150.5</v>
      </c>
      <c r="G486" s="2" t="s">
        <v>98</v>
      </c>
      <c r="H486" s="2">
        <v>15</v>
      </c>
      <c r="I486" s="2">
        <v>2257.52</v>
      </c>
      <c r="J486" s="2" t="s">
        <v>63</v>
      </c>
      <c r="K486" s="2" t="s">
        <v>19</v>
      </c>
      <c r="L486" s="2" t="s">
        <v>41</v>
      </c>
      <c r="M486" s="2" t="s">
        <v>76</v>
      </c>
      <c r="N486" s="2" t="s">
        <v>1048</v>
      </c>
      <c r="O486" s="2" t="s">
        <v>1063</v>
      </c>
      <c r="P486" t="s">
        <v>1079</v>
      </c>
      <c r="Q486">
        <v>2025</v>
      </c>
    </row>
    <row r="487" spans="1:17" hidden="1" x14ac:dyDescent="0.25">
      <c r="A487" s="1" t="s">
        <v>685</v>
      </c>
      <c r="B487" s="3">
        <v>45598</v>
      </c>
      <c r="C487" s="1" t="s">
        <v>264</v>
      </c>
      <c r="D487" s="1" t="s">
        <v>31</v>
      </c>
      <c r="E487" s="1" t="s">
        <v>25</v>
      </c>
      <c r="F487" s="2">
        <v>41.59</v>
      </c>
      <c r="G487" s="2" t="s">
        <v>46</v>
      </c>
      <c r="H487" s="2">
        <v>17</v>
      </c>
      <c r="I487" s="2">
        <v>707.03000000000009</v>
      </c>
      <c r="J487" s="2" t="s">
        <v>63</v>
      </c>
      <c r="K487" s="2" t="s">
        <v>19</v>
      </c>
      <c r="L487" s="2" t="s">
        <v>20</v>
      </c>
      <c r="M487" s="2" t="s">
        <v>64</v>
      </c>
      <c r="N487" s="2" t="s">
        <v>1064</v>
      </c>
      <c r="O487" s="2" t="s">
        <v>1063</v>
      </c>
      <c r="P487" t="s">
        <v>1079</v>
      </c>
      <c r="Q487">
        <v>2024</v>
      </c>
    </row>
    <row r="488" spans="1:17" hidden="1" x14ac:dyDescent="0.25">
      <c r="A488" s="1" t="s">
        <v>686</v>
      </c>
      <c r="B488" s="3">
        <v>45546</v>
      </c>
      <c r="C488" s="1" t="s">
        <v>110</v>
      </c>
      <c r="D488" s="1" t="s">
        <v>15</v>
      </c>
      <c r="E488" s="1" t="s">
        <v>16</v>
      </c>
      <c r="F488" s="2">
        <v>277.14999999999998</v>
      </c>
      <c r="G488" s="2" t="s">
        <v>51</v>
      </c>
      <c r="H488" s="2">
        <v>12</v>
      </c>
      <c r="I488" s="2">
        <v>3325.81</v>
      </c>
      <c r="J488" s="2" t="s">
        <v>18</v>
      </c>
      <c r="K488" s="2" t="s">
        <v>19</v>
      </c>
      <c r="L488" s="2" t="s">
        <v>41</v>
      </c>
      <c r="M488" s="2" t="s">
        <v>42</v>
      </c>
      <c r="N488" s="2" t="s">
        <v>1049</v>
      </c>
      <c r="O488" s="2" t="s">
        <v>1059</v>
      </c>
      <c r="P488" t="s">
        <v>1079</v>
      </c>
      <c r="Q488">
        <v>2024</v>
      </c>
    </row>
    <row r="489" spans="1:17" hidden="1" x14ac:dyDescent="0.25">
      <c r="A489" s="1" t="s">
        <v>687</v>
      </c>
      <c r="B489" s="3">
        <v>45509</v>
      </c>
      <c r="C489" s="1" t="s">
        <v>201</v>
      </c>
      <c r="D489" s="1" t="s">
        <v>31</v>
      </c>
      <c r="E489" s="1" t="s">
        <v>45</v>
      </c>
      <c r="F489" s="2">
        <v>283.77999999999997</v>
      </c>
      <c r="G489" s="2" t="s">
        <v>98</v>
      </c>
      <c r="H489" s="2">
        <v>10</v>
      </c>
      <c r="I489" s="2">
        <v>2837.83</v>
      </c>
      <c r="J489" s="2" t="s">
        <v>63</v>
      </c>
      <c r="K489" s="2" t="s">
        <v>34</v>
      </c>
      <c r="L489" s="2" t="s">
        <v>47</v>
      </c>
      <c r="M489" s="2" t="s">
        <v>48</v>
      </c>
      <c r="N489" s="2" t="s">
        <v>1051</v>
      </c>
      <c r="O489" s="2" t="s">
        <v>1056</v>
      </c>
      <c r="P489" t="s">
        <v>1079</v>
      </c>
      <c r="Q489">
        <v>2024</v>
      </c>
    </row>
    <row r="490" spans="1:17" x14ac:dyDescent="0.25">
      <c r="A490" s="1" t="s">
        <v>688</v>
      </c>
      <c r="B490" s="3">
        <v>45758</v>
      </c>
      <c r="C490" s="1" t="s">
        <v>681</v>
      </c>
      <c r="D490" s="1" t="s">
        <v>31</v>
      </c>
      <c r="E490" s="1" t="s">
        <v>71</v>
      </c>
      <c r="F490" s="2">
        <v>16.920000000000002</v>
      </c>
      <c r="G490" s="2" t="s">
        <v>31</v>
      </c>
      <c r="H490" s="2">
        <v>100</v>
      </c>
      <c r="I490" s="2">
        <v>1691.64</v>
      </c>
      <c r="J490" s="2" t="s">
        <v>18</v>
      </c>
      <c r="K490" s="2" t="s">
        <v>19</v>
      </c>
      <c r="L490" s="2" t="s">
        <v>41</v>
      </c>
      <c r="M490" s="2" t="s">
        <v>141</v>
      </c>
      <c r="N490" s="2" t="s">
        <v>1048</v>
      </c>
      <c r="O490" s="2" t="s">
        <v>1058</v>
      </c>
      <c r="P490" t="s">
        <v>1079</v>
      </c>
      <c r="Q490">
        <v>2025</v>
      </c>
    </row>
    <row r="491" spans="1:17" hidden="1" x14ac:dyDescent="0.25">
      <c r="A491" s="1" t="s">
        <v>689</v>
      </c>
      <c r="B491" s="3">
        <v>45315</v>
      </c>
      <c r="C491" s="1" t="s">
        <v>44</v>
      </c>
      <c r="D491" s="1" t="s">
        <v>31</v>
      </c>
      <c r="E491" s="1" t="s">
        <v>67</v>
      </c>
      <c r="F491" s="2">
        <v>65.8</v>
      </c>
      <c r="G491" s="2" t="s">
        <v>31</v>
      </c>
      <c r="H491" s="2">
        <v>13</v>
      </c>
      <c r="I491" s="2">
        <v>855.4</v>
      </c>
      <c r="J491" s="2" t="s">
        <v>18</v>
      </c>
      <c r="K491" s="2" t="s">
        <v>19</v>
      </c>
      <c r="L491" s="2" t="s">
        <v>41</v>
      </c>
      <c r="M491" s="2" t="s">
        <v>42</v>
      </c>
      <c r="N491" s="2" t="s">
        <v>1050</v>
      </c>
      <c r="O491" s="2" t="s">
        <v>1059</v>
      </c>
      <c r="P491" t="s">
        <v>1079</v>
      </c>
      <c r="Q491">
        <v>2024</v>
      </c>
    </row>
    <row r="492" spans="1:17" hidden="1" x14ac:dyDescent="0.25">
      <c r="A492" s="1" t="s">
        <v>690</v>
      </c>
      <c r="B492" s="3">
        <v>45306</v>
      </c>
      <c r="C492" s="1" t="s">
        <v>108</v>
      </c>
      <c r="D492" s="1" t="s">
        <v>15</v>
      </c>
      <c r="E492" s="1" t="s">
        <v>25</v>
      </c>
      <c r="F492" s="2">
        <v>50.59</v>
      </c>
      <c r="G492" s="2" t="s">
        <v>17</v>
      </c>
      <c r="H492" s="2">
        <v>15</v>
      </c>
      <c r="I492" s="2">
        <v>758.83</v>
      </c>
      <c r="J492" s="2" t="s">
        <v>63</v>
      </c>
      <c r="K492" s="2" t="s">
        <v>19</v>
      </c>
      <c r="L492" s="2" t="s">
        <v>35</v>
      </c>
      <c r="M492" s="2" t="s">
        <v>126</v>
      </c>
      <c r="N492" s="2" t="s">
        <v>1050</v>
      </c>
      <c r="O492" s="2" t="s">
        <v>1056</v>
      </c>
      <c r="P492" t="s">
        <v>1079</v>
      </c>
      <c r="Q492">
        <v>2024</v>
      </c>
    </row>
    <row r="493" spans="1:17" hidden="1" x14ac:dyDescent="0.25">
      <c r="A493" s="1" t="s">
        <v>691</v>
      </c>
      <c r="B493" s="3">
        <v>45402</v>
      </c>
      <c r="C493" s="1" t="s">
        <v>61</v>
      </c>
      <c r="D493" s="1" t="s">
        <v>55</v>
      </c>
      <c r="E493" s="1" t="s">
        <v>67</v>
      </c>
      <c r="F493" s="2">
        <v>113.61</v>
      </c>
      <c r="G493" s="2" t="s">
        <v>56</v>
      </c>
      <c r="H493" s="2">
        <v>16</v>
      </c>
      <c r="I493" s="2">
        <v>1817.8</v>
      </c>
      <c r="J493" s="2" t="s">
        <v>18</v>
      </c>
      <c r="K493" s="2" t="s">
        <v>19</v>
      </c>
      <c r="L493" s="2" t="s">
        <v>41</v>
      </c>
      <c r="M493" s="2" t="s">
        <v>42</v>
      </c>
      <c r="N493" s="2" t="s">
        <v>1048</v>
      </c>
      <c r="O493" s="2" t="s">
        <v>1063</v>
      </c>
      <c r="P493" t="s">
        <v>1079</v>
      </c>
      <c r="Q493">
        <v>2024</v>
      </c>
    </row>
    <row r="494" spans="1:17" hidden="1" x14ac:dyDescent="0.25">
      <c r="A494" s="1" t="s">
        <v>692</v>
      </c>
      <c r="B494" s="3">
        <v>45438</v>
      </c>
      <c r="C494" s="1" t="s">
        <v>23</v>
      </c>
      <c r="D494" s="1" t="s">
        <v>31</v>
      </c>
      <c r="E494" s="1" t="s">
        <v>25</v>
      </c>
      <c r="F494" s="2">
        <v>120.09</v>
      </c>
      <c r="G494" s="2" t="s">
        <v>46</v>
      </c>
      <c r="H494" s="2">
        <v>11</v>
      </c>
      <c r="I494" s="2">
        <v>1321</v>
      </c>
      <c r="J494" s="2" t="s">
        <v>18</v>
      </c>
      <c r="K494" s="2" t="s">
        <v>19</v>
      </c>
      <c r="L494" s="2" t="s">
        <v>35</v>
      </c>
      <c r="M494" s="2" t="s">
        <v>52</v>
      </c>
      <c r="N494" s="2" t="s">
        <v>1057</v>
      </c>
      <c r="O494" s="2" t="s">
        <v>1055</v>
      </c>
      <c r="P494" t="s">
        <v>1079</v>
      </c>
      <c r="Q494">
        <v>2024</v>
      </c>
    </row>
    <row r="495" spans="1:17" hidden="1" x14ac:dyDescent="0.25">
      <c r="A495" s="1" t="s">
        <v>693</v>
      </c>
      <c r="B495" s="3">
        <v>45572</v>
      </c>
      <c r="C495" s="1" t="s">
        <v>74</v>
      </c>
      <c r="D495" s="1" t="s">
        <v>31</v>
      </c>
      <c r="E495" s="1" t="s">
        <v>45</v>
      </c>
      <c r="F495" s="2">
        <v>3077.87</v>
      </c>
      <c r="G495" s="2" t="s">
        <v>32</v>
      </c>
      <c r="H495" s="2">
        <v>1</v>
      </c>
      <c r="I495" s="2">
        <v>3077.87</v>
      </c>
      <c r="J495" s="2" t="s">
        <v>18</v>
      </c>
      <c r="K495" s="2" t="s">
        <v>19</v>
      </c>
      <c r="L495" s="2" t="s">
        <v>20</v>
      </c>
      <c r="M495" s="2" t="s">
        <v>88</v>
      </c>
      <c r="N495" s="2" t="s">
        <v>1046</v>
      </c>
      <c r="O495" s="2" t="s">
        <v>1056</v>
      </c>
      <c r="P495" t="s">
        <v>1079</v>
      </c>
      <c r="Q495">
        <v>2024</v>
      </c>
    </row>
    <row r="496" spans="1:17" x14ac:dyDescent="0.25">
      <c r="A496" s="1" t="s">
        <v>694</v>
      </c>
      <c r="B496" s="3">
        <v>45950</v>
      </c>
      <c r="C496" s="1" t="s">
        <v>123</v>
      </c>
      <c r="D496" s="1" t="s">
        <v>15</v>
      </c>
      <c r="E496" s="1" t="s">
        <v>16</v>
      </c>
      <c r="F496" s="2">
        <v>194.94</v>
      </c>
      <c r="G496" s="2" t="s">
        <v>62</v>
      </c>
      <c r="H496" s="2">
        <v>8</v>
      </c>
      <c r="I496" s="2">
        <v>1559.52</v>
      </c>
      <c r="J496" s="2" t="s">
        <v>18</v>
      </c>
      <c r="K496" s="2" t="s">
        <v>34</v>
      </c>
      <c r="L496" s="2" t="s">
        <v>35</v>
      </c>
      <c r="M496" s="2" t="s">
        <v>52</v>
      </c>
      <c r="N496" s="2" t="s">
        <v>1046</v>
      </c>
      <c r="O496" s="2" t="s">
        <v>1056</v>
      </c>
      <c r="P496" t="s">
        <v>1079</v>
      </c>
      <c r="Q496">
        <v>2025</v>
      </c>
    </row>
    <row r="497" spans="1:17" hidden="1" x14ac:dyDescent="0.25">
      <c r="A497" s="1" t="s">
        <v>695</v>
      </c>
      <c r="B497" s="3">
        <v>45465</v>
      </c>
      <c r="C497" s="1" t="s">
        <v>193</v>
      </c>
      <c r="D497" s="1" t="s">
        <v>24</v>
      </c>
      <c r="E497" s="1" t="s">
        <v>16</v>
      </c>
      <c r="F497" s="2">
        <v>160.30000000000001</v>
      </c>
      <c r="G497" s="2" t="s">
        <v>75</v>
      </c>
      <c r="H497" s="2">
        <v>10</v>
      </c>
      <c r="I497" s="2">
        <v>1603</v>
      </c>
      <c r="J497" s="2" t="s">
        <v>63</v>
      </c>
      <c r="K497" s="2" t="s">
        <v>34</v>
      </c>
      <c r="L497" s="2" t="s">
        <v>35</v>
      </c>
      <c r="M497" s="2" t="s">
        <v>36</v>
      </c>
      <c r="N497" s="2" t="s">
        <v>1062</v>
      </c>
      <c r="O497" s="2" t="s">
        <v>1063</v>
      </c>
      <c r="P497" t="s">
        <v>1079</v>
      </c>
      <c r="Q497">
        <v>2024</v>
      </c>
    </row>
    <row r="498" spans="1:17" x14ac:dyDescent="0.25">
      <c r="A498" s="1" t="s">
        <v>696</v>
      </c>
      <c r="B498" s="3">
        <v>45855</v>
      </c>
      <c r="C498" s="1" t="s">
        <v>160</v>
      </c>
      <c r="D498" s="1" t="s">
        <v>39</v>
      </c>
      <c r="E498" s="1" t="s">
        <v>67</v>
      </c>
      <c r="F498" s="2">
        <v>173.05</v>
      </c>
      <c r="G498" s="2" t="s">
        <v>93</v>
      </c>
      <c r="H498" s="2">
        <v>11</v>
      </c>
      <c r="I498" s="2">
        <v>1903.59</v>
      </c>
      <c r="J498" s="2" t="s">
        <v>18</v>
      </c>
      <c r="K498" s="2" t="s">
        <v>19</v>
      </c>
      <c r="L498" s="2" t="s">
        <v>41</v>
      </c>
      <c r="M498" s="2" t="s">
        <v>76</v>
      </c>
      <c r="N498" s="2" t="s">
        <v>1052</v>
      </c>
      <c r="O498" s="2" t="s">
        <v>1047</v>
      </c>
      <c r="P498" t="s">
        <v>1079</v>
      </c>
      <c r="Q498">
        <v>2025</v>
      </c>
    </row>
    <row r="499" spans="1:17" x14ac:dyDescent="0.25">
      <c r="A499" s="1" t="s">
        <v>697</v>
      </c>
      <c r="B499" s="3">
        <v>45702</v>
      </c>
      <c r="C499" s="1" t="s">
        <v>681</v>
      </c>
      <c r="D499" s="1" t="s">
        <v>15</v>
      </c>
      <c r="E499" s="1" t="s">
        <v>67</v>
      </c>
      <c r="F499" s="2">
        <v>154.24</v>
      </c>
      <c r="G499" s="2" t="s">
        <v>17</v>
      </c>
      <c r="H499" s="2">
        <v>10</v>
      </c>
      <c r="I499" s="2">
        <v>1542.44</v>
      </c>
      <c r="J499" s="2" t="s">
        <v>18</v>
      </c>
      <c r="K499" s="2" t="s">
        <v>34</v>
      </c>
      <c r="L499" s="2" t="s">
        <v>35</v>
      </c>
      <c r="M499" s="2" t="s">
        <v>126</v>
      </c>
      <c r="N499" s="2" t="s">
        <v>1060</v>
      </c>
      <c r="O499" s="2" t="s">
        <v>1058</v>
      </c>
      <c r="P499" t="s">
        <v>1079</v>
      </c>
      <c r="Q499">
        <v>2025</v>
      </c>
    </row>
    <row r="500" spans="1:17" x14ac:dyDescent="0.25">
      <c r="A500" s="1" t="s">
        <v>698</v>
      </c>
      <c r="B500" s="3">
        <v>45732</v>
      </c>
      <c r="C500" s="1" t="s">
        <v>279</v>
      </c>
      <c r="D500" s="1" t="s">
        <v>31</v>
      </c>
      <c r="E500" s="1" t="s">
        <v>71</v>
      </c>
      <c r="F500" s="2">
        <v>79.180000000000007</v>
      </c>
      <c r="G500" s="2" t="s">
        <v>32</v>
      </c>
      <c r="H500" s="2">
        <v>19</v>
      </c>
      <c r="I500" s="2">
        <v>1504.36</v>
      </c>
      <c r="J500" s="2" t="s">
        <v>18</v>
      </c>
      <c r="K500" s="2" t="s">
        <v>19</v>
      </c>
      <c r="L500" s="2" t="s">
        <v>35</v>
      </c>
      <c r="M500" s="2" t="s">
        <v>36</v>
      </c>
      <c r="N500" s="2" t="s">
        <v>1054</v>
      </c>
      <c r="O500" s="2" t="s">
        <v>1055</v>
      </c>
      <c r="P500" t="s">
        <v>1079</v>
      </c>
      <c r="Q500">
        <v>2025</v>
      </c>
    </row>
    <row r="501" spans="1:17" x14ac:dyDescent="0.25">
      <c r="A501" s="1" t="s">
        <v>699</v>
      </c>
      <c r="B501" s="3">
        <v>45674</v>
      </c>
      <c r="C501" s="1" t="s">
        <v>92</v>
      </c>
      <c r="D501" s="1" t="s">
        <v>24</v>
      </c>
      <c r="E501" s="1" t="s">
        <v>25</v>
      </c>
      <c r="F501" s="2">
        <v>216.44</v>
      </c>
      <c r="G501" s="2" t="s">
        <v>170</v>
      </c>
      <c r="H501" s="2">
        <v>10</v>
      </c>
      <c r="I501" s="2">
        <v>2164.35</v>
      </c>
      <c r="J501" s="2" t="s">
        <v>18</v>
      </c>
      <c r="K501" s="2" t="s">
        <v>34</v>
      </c>
      <c r="L501" s="2" t="s">
        <v>20</v>
      </c>
      <c r="M501" s="2" t="s">
        <v>88</v>
      </c>
      <c r="N501" s="2" t="s">
        <v>1050</v>
      </c>
      <c r="O501" s="2" t="s">
        <v>1058</v>
      </c>
      <c r="P501" t="s">
        <v>1079</v>
      </c>
      <c r="Q501">
        <v>2025</v>
      </c>
    </row>
    <row r="502" spans="1:17" x14ac:dyDescent="0.25">
      <c r="A502" s="1" t="s">
        <v>700</v>
      </c>
      <c r="B502" s="3">
        <v>45700</v>
      </c>
      <c r="C502" s="1" t="s">
        <v>175</v>
      </c>
      <c r="D502" s="1" t="s">
        <v>24</v>
      </c>
      <c r="E502" s="1" t="s">
        <v>45</v>
      </c>
      <c r="F502" s="2">
        <v>367.71</v>
      </c>
      <c r="G502" s="2" t="s">
        <v>68</v>
      </c>
      <c r="H502" s="2">
        <v>7</v>
      </c>
      <c r="I502" s="2">
        <v>2574</v>
      </c>
      <c r="J502" s="2" t="s">
        <v>18</v>
      </c>
      <c r="K502" s="2" t="s">
        <v>34</v>
      </c>
      <c r="L502" s="2" t="s">
        <v>41</v>
      </c>
      <c r="M502" s="2" t="s">
        <v>76</v>
      </c>
      <c r="N502" s="2" t="s">
        <v>1060</v>
      </c>
      <c r="O502" s="2" t="s">
        <v>1059</v>
      </c>
      <c r="P502" t="s">
        <v>1079</v>
      </c>
      <c r="Q502">
        <v>2025</v>
      </c>
    </row>
    <row r="503" spans="1:17" x14ac:dyDescent="0.25">
      <c r="A503" s="1" t="s">
        <v>701</v>
      </c>
      <c r="B503" s="3">
        <v>45753</v>
      </c>
      <c r="C503" s="1" t="s">
        <v>38</v>
      </c>
      <c r="D503" s="1" t="s">
        <v>39</v>
      </c>
      <c r="E503" s="1" t="s">
        <v>45</v>
      </c>
      <c r="F503" s="2">
        <v>138.52000000000001</v>
      </c>
      <c r="G503" s="2" t="s">
        <v>40</v>
      </c>
      <c r="H503" s="2">
        <v>9</v>
      </c>
      <c r="I503" s="2">
        <v>1246.7</v>
      </c>
      <c r="J503" s="2" t="s">
        <v>33</v>
      </c>
      <c r="K503" s="2" t="s">
        <v>34</v>
      </c>
      <c r="L503" s="2" t="s">
        <v>35</v>
      </c>
      <c r="M503" s="2" t="s">
        <v>126</v>
      </c>
      <c r="N503" s="2" t="s">
        <v>1048</v>
      </c>
      <c r="O503" s="2" t="s">
        <v>1055</v>
      </c>
      <c r="P503" t="s">
        <v>1079</v>
      </c>
      <c r="Q503">
        <v>2025</v>
      </c>
    </row>
    <row r="504" spans="1:17" hidden="1" x14ac:dyDescent="0.25">
      <c r="A504" s="1" t="s">
        <v>702</v>
      </c>
      <c r="B504" s="3">
        <v>45401</v>
      </c>
      <c r="C504" s="1" t="s">
        <v>703</v>
      </c>
      <c r="D504" s="1" t="s">
        <v>31</v>
      </c>
      <c r="E504" s="1" t="s">
        <v>45</v>
      </c>
      <c r="F504" s="2">
        <v>118</v>
      </c>
      <c r="G504" s="2" t="s">
        <v>31</v>
      </c>
      <c r="H504" s="2">
        <v>9</v>
      </c>
      <c r="I504" s="2">
        <v>1062</v>
      </c>
      <c r="J504" s="2" t="s">
        <v>18</v>
      </c>
      <c r="K504" s="2" t="s">
        <v>34</v>
      </c>
      <c r="L504" s="2" t="s">
        <v>47</v>
      </c>
      <c r="M504" s="2" t="s">
        <v>153</v>
      </c>
      <c r="N504" s="2" t="s">
        <v>1048</v>
      </c>
      <c r="O504" s="2" t="s">
        <v>1058</v>
      </c>
      <c r="P504" t="s">
        <v>1079</v>
      </c>
      <c r="Q504">
        <v>2024</v>
      </c>
    </row>
    <row r="505" spans="1:17" x14ac:dyDescent="0.25">
      <c r="A505" s="1" t="s">
        <v>704</v>
      </c>
      <c r="B505" s="3">
        <v>45862</v>
      </c>
      <c r="C505" s="1" t="s">
        <v>108</v>
      </c>
      <c r="D505" s="1" t="s">
        <v>55</v>
      </c>
      <c r="E505" s="1" t="s">
        <v>25</v>
      </c>
      <c r="F505" s="2">
        <v>59</v>
      </c>
      <c r="G505" s="2" t="s">
        <v>148</v>
      </c>
      <c r="H505" s="2">
        <v>17</v>
      </c>
      <c r="I505" s="2">
        <v>1003.02</v>
      </c>
      <c r="J505" s="2" t="s">
        <v>63</v>
      </c>
      <c r="K505" s="2" t="s">
        <v>19</v>
      </c>
      <c r="L505" s="2" t="s">
        <v>41</v>
      </c>
      <c r="M505" s="2" t="s">
        <v>76</v>
      </c>
      <c r="N505" s="2" t="s">
        <v>1052</v>
      </c>
      <c r="O505" s="2" t="s">
        <v>1047</v>
      </c>
      <c r="P505" t="s">
        <v>1079</v>
      </c>
      <c r="Q505">
        <v>2025</v>
      </c>
    </row>
    <row r="506" spans="1:17" x14ac:dyDescent="0.25">
      <c r="A506" s="1" t="s">
        <v>705</v>
      </c>
      <c r="B506" s="3">
        <v>45695</v>
      </c>
      <c r="C506" s="1" t="s">
        <v>204</v>
      </c>
      <c r="D506" s="1" t="s">
        <v>39</v>
      </c>
      <c r="E506" s="1" t="s">
        <v>16</v>
      </c>
      <c r="F506" s="2">
        <v>128.47</v>
      </c>
      <c r="G506" s="2" t="s">
        <v>72</v>
      </c>
      <c r="H506" s="2">
        <v>8</v>
      </c>
      <c r="I506" s="2">
        <v>1027.77</v>
      </c>
      <c r="J506" s="2" t="s">
        <v>18</v>
      </c>
      <c r="K506" s="2" t="s">
        <v>34</v>
      </c>
      <c r="L506" s="2" t="s">
        <v>41</v>
      </c>
      <c r="M506" s="2" t="s">
        <v>141</v>
      </c>
      <c r="N506" s="2" t="s">
        <v>1060</v>
      </c>
      <c r="O506" s="2" t="s">
        <v>1058</v>
      </c>
      <c r="P506" t="s">
        <v>1079</v>
      </c>
      <c r="Q506">
        <v>2025</v>
      </c>
    </row>
    <row r="507" spans="1:17" x14ac:dyDescent="0.25">
      <c r="A507" s="1" t="s">
        <v>706</v>
      </c>
      <c r="B507" s="3">
        <v>45933</v>
      </c>
      <c r="C507" s="1" t="s">
        <v>106</v>
      </c>
      <c r="D507" s="1" t="s">
        <v>31</v>
      </c>
      <c r="E507" s="1" t="s">
        <v>71</v>
      </c>
      <c r="F507" s="2">
        <v>140.66999999999999</v>
      </c>
      <c r="G507" s="2" t="s">
        <v>98</v>
      </c>
      <c r="H507" s="2">
        <v>16</v>
      </c>
      <c r="I507" s="2">
        <v>2250.6799999999998</v>
      </c>
      <c r="J507" s="2" t="s">
        <v>18</v>
      </c>
      <c r="K507" s="2" t="s">
        <v>19</v>
      </c>
      <c r="L507" s="2" t="s">
        <v>20</v>
      </c>
      <c r="M507" s="2" t="s">
        <v>64</v>
      </c>
      <c r="N507" s="2" t="s">
        <v>1046</v>
      </c>
      <c r="O507" s="2" t="s">
        <v>1058</v>
      </c>
      <c r="P507" t="s">
        <v>1079</v>
      </c>
      <c r="Q507">
        <v>2025</v>
      </c>
    </row>
    <row r="508" spans="1:17" hidden="1" x14ac:dyDescent="0.25">
      <c r="A508" s="1" t="s">
        <v>707</v>
      </c>
      <c r="B508" s="3">
        <v>45315</v>
      </c>
      <c r="C508" s="1" t="s">
        <v>348</v>
      </c>
      <c r="D508" s="1" t="s">
        <v>15</v>
      </c>
      <c r="E508" s="1" t="s">
        <v>71</v>
      </c>
      <c r="F508" s="2">
        <v>79.989999999999995</v>
      </c>
      <c r="G508" s="2" t="s">
        <v>17</v>
      </c>
      <c r="H508" s="2">
        <v>11</v>
      </c>
      <c r="I508" s="2">
        <v>879.87</v>
      </c>
      <c r="J508" s="2" t="s">
        <v>63</v>
      </c>
      <c r="K508" s="2" t="s">
        <v>19</v>
      </c>
      <c r="L508" s="2" t="s">
        <v>47</v>
      </c>
      <c r="M508" s="2" t="s">
        <v>48</v>
      </c>
      <c r="N508" s="2" t="s">
        <v>1050</v>
      </c>
      <c r="O508" s="2" t="s">
        <v>1059</v>
      </c>
      <c r="P508" t="s">
        <v>1079</v>
      </c>
      <c r="Q508">
        <v>2024</v>
      </c>
    </row>
    <row r="509" spans="1:17" x14ac:dyDescent="0.25">
      <c r="A509" s="1" t="s">
        <v>708</v>
      </c>
      <c r="B509" s="3">
        <v>45937</v>
      </c>
      <c r="C509" s="1" t="s">
        <v>242</v>
      </c>
      <c r="D509" s="1" t="s">
        <v>31</v>
      </c>
      <c r="E509" s="1" t="s">
        <v>71</v>
      </c>
      <c r="F509" s="2">
        <v>158.32</v>
      </c>
      <c r="G509" s="2" t="s">
        <v>98</v>
      </c>
      <c r="H509" s="2">
        <v>15</v>
      </c>
      <c r="I509" s="2">
        <v>2374.85</v>
      </c>
      <c r="J509" s="2" t="s">
        <v>18</v>
      </c>
      <c r="K509" s="2" t="s">
        <v>19</v>
      </c>
      <c r="L509" s="2" t="s">
        <v>27</v>
      </c>
      <c r="M509" s="2" t="s">
        <v>28</v>
      </c>
      <c r="N509" s="2" t="s">
        <v>1046</v>
      </c>
      <c r="O509" s="2" t="s">
        <v>1053</v>
      </c>
      <c r="P509" t="s">
        <v>1079</v>
      </c>
      <c r="Q509">
        <v>2025</v>
      </c>
    </row>
    <row r="510" spans="1:17" x14ac:dyDescent="0.25">
      <c r="A510" s="1" t="s">
        <v>709</v>
      </c>
      <c r="B510" s="3">
        <v>45947</v>
      </c>
      <c r="C510" s="1" t="s">
        <v>248</v>
      </c>
      <c r="D510" s="1" t="s">
        <v>24</v>
      </c>
      <c r="E510" s="1" t="s">
        <v>45</v>
      </c>
      <c r="F510" s="2">
        <v>158.82</v>
      </c>
      <c r="G510" s="2" t="s">
        <v>68</v>
      </c>
      <c r="H510" s="2">
        <v>8</v>
      </c>
      <c r="I510" s="2">
        <v>1270.5899999999999</v>
      </c>
      <c r="J510" s="2" t="s">
        <v>33</v>
      </c>
      <c r="K510" s="2" t="s">
        <v>34</v>
      </c>
      <c r="L510" s="2" t="s">
        <v>41</v>
      </c>
      <c r="M510" s="2" t="s">
        <v>42</v>
      </c>
      <c r="N510" s="2" t="s">
        <v>1046</v>
      </c>
      <c r="O510" s="2" t="s">
        <v>1058</v>
      </c>
      <c r="P510" t="s">
        <v>1079</v>
      </c>
      <c r="Q510">
        <v>2025</v>
      </c>
    </row>
    <row r="511" spans="1:17" x14ac:dyDescent="0.25">
      <c r="A511" s="1" t="s">
        <v>710</v>
      </c>
      <c r="B511" s="3">
        <v>45800</v>
      </c>
      <c r="C511" s="1" t="s">
        <v>439</v>
      </c>
      <c r="D511" s="1" t="s">
        <v>55</v>
      </c>
      <c r="E511" s="1" t="s">
        <v>45</v>
      </c>
      <c r="F511" s="2">
        <v>192.8</v>
      </c>
      <c r="G511" s="2" t="s">
        <v>56</v>
      </c>
      <c r="H511" s="2">
        <v>10</v>
      </c>
      <c r="I511" s="2">
        <v>1927.99</v>
      </c>
      <c r="J511" s="2" t="s">
        <v>18</v>
      </c>
      <c r="K511" s="2" t="s">
        <v>34</v>
      </c>
      <c r="L511" s="2" t="s">
        <v>41</v>
      </c>
      <c r="M511" s="2" t="s">
        <v>42</v>
      </c>
      <c r="N511" s="2" t="s">
        <v>1057</v>
      </c>
      <c r="O511" s="2" t="s">
        <v>1058</v>
      </c>
      <c r="P511" t="s">
        <v>1079</v>
      </c>
      <c r="Q511">
        <v>2025</v>
      </c>
    </row>
    <row r="512" spans="1:17" hidden="1" x14ac:dyDescent="0.25">
      <c r="A512" s="1" t="s">
        <v>711</v>
      </c>
      <c r="B512" s="3">
        <v>45474</v>
      </c>
      <c r="C512" s="1" t="s">
        <v>256</v>
      </c>
      <c r="D512" s="1" t="s">
        <v>24</v>
      </c>
      <c r="E512" s="1" t="s">
        <v>25</v>
      </c>
      <c r="F512" s="2">
        <v>218.33</v>
      </c>
      <c r="G512" s="2" t="s">
        <v>26</v>
      </c>
      <c r="H512" s="2">
        <v>13</v>
      </c>
      <c r="I512" s="2">
        <v>2838.33</v>
      </c>
      <c r="J512" s="2" t="s">
        <v>63</v>
      </c>
      <c r="K512" s="2" t="s">
        <v>19</v>
      </c>
      <c r="L512" s="2" t="s">
        <v>27</v>
      </c>
      <c r="M512" s="2" t="s">
        <v>59</v>
      </c>
      <c r="N512" s="2" t="s">
        <v>1052</v>
      </c>
      <c r="O512" s="2" t="s">
        <v>1056</v>
      </c>
      <c r="P512" t="s">
        <v>1079</v>
      </c>
      <c r="Q512">
        <v>2024</v>
      </c>
    </row>
    <row r="513" spans="1:17" hidden="1" x14ac:dyDescent="0.25">
      <c r="A513" s="1" t="s">
        <v>712</v>
      </c>
      <c r="B513" s="3">
        <v>45537</v>
      </c>
      <c r="C513" s="1" t="s">
        <v>254</v>
      </c>
      <c r="D513" s="1" t="s">
        <v>24</v>
      </c>
      <c r="E513" s="1" t="s">
        <v>67</v>
      </c>
      <c r="F513" s="2">
        <v>182.62</v>
      </c>
      <c r="G513" s="2" t="s">
        <v>170</v>
      </c>
      <c r="H513" s="2">
        <v>8</v>
      </c>
      <c r="I513" s="2">
        <v>1461</v>
      </c>
      <c r="J513" s="2" t="s">
        <v>63</v>
      </c>
      <c r="K513" s="2" t="s">
        <v>34</v>
      </c>
      <c r="L513" s="2" t="s">
        <v>41</v>
      </c>
      <c r="M513" s="2" t="s">
        <v>76</v>
      </c>
      <c r="N513" s="2" t="s">
        <v>1049</v>
      </c>
      <c r="O513" s="2" t="s">
        <v>1056</v>
      </c>
      <c r="P513" t="s">
        <v>1079</v>
      </c>
      <c r="Q513">
        <v>2024</v>
      </c>
    </row>
    <row r="514" spans="1:17" x14ac:dyDescent="0.25">
      <c r="A514" s="1" t="s">
        <v>713</v>
      </c>
      <c r="B514" s="3">
        <v>45676</v>
      </c>
      <c r="C514" s="1" t="s">
        <v>462</v>
      </c>
      <c r="D514" s="1" t="s">
        <v>39</v>
      </c>
      <c r="E514" s="1" t="s">
        <v>67</v>
      </c>
      <c r="F514" s="2">
        <v>94.42</v>
      </c>
      <c r="G514" s="2" t="s">
        <v>93</v>
      </c>
      <c r="H514" s="2">
        <v>11</v>
      </c>
      <c r="I514" s="2">
        <v>1038.5899999999999</v>
      </c>
      <c r="J514" s="2" t="s">
        <v>18</v>
      </c>
      <c r="K514" s="2" t="s">
        <v>19</v>
      </c>
      <c r="L514" s="2" t="s">
        <v>47</v>
      </c>
      <c r="M514" s="2" t="s">
        <v>48</v>
      </c>
      <c r="N514" s="2" t="s">
        <v>1050</v>
      </c>
      <c r="O514" s="2" t="s">
        <v>1055</v>
      </c>
      <c r="P514" t="s">
        <v>1079</v>
      </c>
      <c r="Q514">
        <v>2025</v>
      </c>
    </row>
    <row r="515" spans="1:17" x14ac:dyDescent="0.25">
      <c r="A515" s="1" t="s">
        <v>714</v>
      </c>
      <c r="B515" s="3">
        <v>45804</v>
      </c>
      <c r="C515" s="1" t="s">
        <v>95</v>
      </c>
      <c r="D515" s="1" t="s">
        <v>55</v>
      </c>
      <c r="E515" s="1" t="s">
        <v>67</v>
      </c>
      <c r="F515" s="2">
        <v>118.87</v>
      </c>
      <c r="G515" s="2" t="s">
        <v>79</v>
      </c>
      <c r="H515" s="2">
        <v>12</v>
      </c>
      <c r="I515" s="2">
        <v>1426.43</v>
      </c>
      <c r="J515" s="2" t="s">
        <v>18</v>
      </c>
      <c r="K515" s="2" t="s">
        <v>19</v>
      </c>
      <c r="L515" s="2" t="s">
        <v>35</v>
      </c>
      <c r="M515" s="2" t="s">
        <v>36</v>
      </c>
      <c r="N515" s="2" t="s">
        <v>1057</v>
      </c>
      <c r="O515" s="2" t="s">
        <v>1053</v>
      </c>
      <c r="P515" t="s">
        <v>1079</v>
      </c>
      <c r="Q515">
        <v>2025</v>
      </c>
    </row>
    <row r="516" spans="1:17" x14ac:dyDescent="0.25">
      <c r="A516" s="1" t="s">
        <v>715</v>
      </c>
      <c r="B516" s="3">
        <v>45809</v>
      </c>
      <c r="C516" s="1" t="s">
        <v>327</v>
      </c>
      <c r="D516" s="1" t="s">
        <v>24</v>
      </c>
      <c r="E516" s="1" t="s">
        <v>16</v>
      </c>
      <c r="F516" s="2">
        <v>94.58</v>
      </c>
      <c r="G516" s="2" t="s">
        <v>75</v>
      </c>
      <c r="H516" s="2">
        <v>22</v>
      </c>
      <c r="I516" s="2">
        <v>2080.67</v>
      </c>
      <c r="J516" s="2" t="s">
        <v>18</v>
      </c>
      <c r="K516" s="2" t="s">
        <v>19</v>
      </c>
      <c r="L516" s="2" t="s">
        <v>20</v>
      </c>
      <c r="M516" s="2" t="s">
        <v>21</v>
      </c>
      <c r="N516" s="2" t="s">
        <v>1062</v>
      </c>
      <c r="O516" s="2" t="s">
        <v>1055</v>
      </c>
      <c r="P516" t="s">
        <v>1079</v>
      </c>
      <c r="Q516">
        <v>2025</v>
      </c>
    </row>
    <row r="517" spans="1:17" hidden="1" x14ac:dyDescent="0.25">
      <c r="A517" s="1" t="s">
        <v>716</v>
      </c>
      <c r="B517" s="3">
        <v>45385</v>
      </c>
      <c r="C517" s="1" t="s">
        <v>123</v>
      </c>
      <c r="D517" s="1" t="s">
        <v>31</v>
      </c>
      <c r="E517" s="1" t="s">
        <v>67</v>
      </c>
      <c r="F517" s="2">
        <v>183.19</v>
      </c>
      <c r="G517" s="2" t="s">
        <v>46</v>
      </c>
      <c r="H517" s="2">
        <v>10</v>
      </c>
      <c r="I517" s="2">
        <v>1831.9</v>
      </c>
      <c r="J517" s="2" t="s">
        <v>18</v>
      </c>
      <c r="K517" s="2" t="s">
        <v>34</v>
      </c>
      <c r="L517" s="2" t="s">
        <v>27</v>
      </c>
      <c r="M517" s="2" t="s">
        <v>59</v>
      </c>
      <c r="N517" s="2" t="s">
        <v>1048</v>
      </c>
      <c r="O517" s="2" t="s">
        <v>1059</v>
      </c>
      <c r="P517" t="s">
        <v>1079</v>
      </c>
      <c r="Q517">
        <v>2024</v>
      </c>
    </row>
    <row r="518" spans="1:17" hidden="1" x14ac:dyDescent="0.25">
      <c r="A518" s="1" t="s">
        <v>717</v>
      </c>
      <c r="B518" s="3">
        <v>45392</v>
      </c>
      <c r="C518" s="1" t="s">
        <v>54</v>
      </c>
      <c r="D518" s="1" t="s">
        <v>24</v>
      </c>
      <c r="E518" s="1" t="s">
        <v>25</v>
      </c>
      <c r="F518" s="2">
        <v>248.1</v>
      </c>
      <c r="G518" s="2" t="s">
        <v>26</v>
      </c>
      <c r="H518" s="2">
        <v>10</v>
      </c>
      <c r="I518" s="2">
        <v>166.2715</v>
      </c>
      <c r="J518" s="2" t="s">
        <v>18</v>
      </c>
      <c r="K518" s="2" t="s">
        <v>34</v>
      </c>
      <c r="L518" s="2" t="s">
        <v>41</v>
      </c>
      <c r="M518" s="2" t="s">
        <v>42</v>
      </c>
      <c r="N518" s="2" t="s">
        <v>1048</v>
      </c>
      <c r="O518" s="2" t="s">
        <v>1059</v>
      </c>
      <c r="P518" t="s">
        <v>1079</v>
      </c>
      <c r="Q518">
        <v>2024</v>
      </c>
    </row>
    <row r="519" spans="1:17" hidden="1" x14ac:dyDescent="0.25">
      <c r="A519" s="1" t="s">
        <v>718</v>
      </c>
      <c r="B519" s="3">
        <v>45314</v>
      </c>
      <c r="C519" s="1" t="s">
        <v>221</v>
      </c>
      <c r="D519" s="1" t="s">
        <v>31</v>
      </c>
      <c r="E519" s="1" t="s">
        <v>25</v>
      </c>
      <c r="F519" s="2">
        <v>169.77</v>
      </c>
      <c r="G519" s="2" t="s">
        <v>46</v>
      </c>
      <c r="H519" s="2">
        <v>15</v>
      </c>
      <c r="I519" s="2">
        <v>2546.61</v>
      </c>
      <c r="J519" s="2" t="s">
        <v>18</v>
      </c>
      <c r="K519" s="2" t="s">
        <v>19</v>
      </c>
      <c r="L519" s="2" t="s">
        <v>27</v>
      </c>
      <c r="M519" s="2" t="s">
        <v>28</v>
      </c>
      <c r="N519" s="2" t="s">
        <v>1050</v>
      </c>
      <c r="O519" s="2" t="s">
        <v>1053</v>
      </c>
      <c r="P519" t="s">
        <v>1079</v>
      </c>
      <c r="Q519">
        <v>2024</v>
      </c>
    </row>
    <row r="520" spans="1:17" hidden="1" x14ac:dyDescent="0.25">
      <c r="A520" s="1" t="s">
        <v>719</v>
      </c>
      <c r="B520" s="3">
        <v>45406</v>
      </c>
      <c r="C520" s="1" t="s">
        <v>400</v>
      </c>
      <c r="D520" s="1" t="s">
        <v>55</v>
      </c>
      <c r="E520" s="1" t="s">
        <v>71</v>
      </c>
      <c r="F520" s="2">
        <v>200.31</v>
      </c>
      <c r="G520" s="2" t="s">
        <v>148</v>
      </c>
      <c r="H520" s="2">
        <v>13</v>
      </c>
      <c r="I520" s="2">
        <v>2603.9899999999998</v>
      </c>
      <c r="J520" s="2" t="s">
        <v>18</v>
      </c>
      <c r="K520" s="2" t="s">
        <v>19</v>
      </c>
      <c r="L520" s="2" t="s">
        <v>27</v>
      </c>
      <c r="M520" s="2" t="s">
        <v>59</v>
      </c>
      <c r="N520" s="2" t="s">
        <v>1048</v>
      </c>
      <c r="O520" s="2" t="s">
        <v>1059</v>
      </c>
      <c r="P520" t="s">
        <v>1079</v>
      </c>
      <c r="Q520">
        <v>2024</v>
      </c>
    </row>
    <row r="521" spans="1:17" x14ac:dyDescent="0.25">
      <c r="A521" s="1" t="s">
        <v>720</v>
      </c>
      <c r="B521" s="3">
        <v>45840</v>
      </c>
      <c r="C521" s="1" t="s">
        <v>721</v>
      </c>
      <c r="D521" s="1" t="s">
        <v>55</v>
      </c>
      <c r="E521" s="1" t="s">
        <v>25</v>
      </c>
      <c r="F521" s="2">
        <v>126.33</v>
      </c>
      <c r="G521" s="2" t="s">
        <v>79</v>
      </c>
      <c r="H521" s="2">
        <v>13</v>
      </c>
      <c r="I521" s="2">
        <v>1642.31</v>
      </c>
      <c r="J521" s="2" t="s">
        <v>18</v>
      </c>
      <c r="K521" s="2" t="s">
        <v>19</v>
      </c>
      <c r="L521" s="2" t="s">
        <v>47</v>
      </c>
      <c r="M521" s="2" t="s">
        <v>48</v>
      </c>
      <c r="N521" s="2" t="s">
        <v>1052</v>
      </c>
      <c r="O521" s="2" t="s">
        <v>1059</v>
      </c>
      <c r="P521" t="s">
        <v>1079</v>
      </c>
      <c r="Q521">
        <v>2025</v>
      </c>
    </row>
    <row r="522" spans="1:17" x14ac:dyDescent="0.25">
      <c r="A522" s="1" t="s">
        <v>722</v>
      </c>
      <c r="B522" s="3">
        <v>45944</v>
      </c>
      <c r="C522" s="1" t="s">
        <v>242</v>
      </c>
      <c r="D522" s="1" t="s">
        <v>24</v>
      </c>
      <c r="E522" s="1" t="s">
        <v>25</v>
      </c>
      <c r="F522" s="2">
        <v>60.12</v>
      </c>
      <c r="G522" s="2" t="s">
        <v>68</v>
      </c>
      <c r="H522" s="2">
        <v>12</v>
      </c>
      <c r="I522" s="2">
        <v>721.38</v>
      </c>
      <c r="J522" s="2" t="s">
        <v>63</v>
      </c>
      <c r="K522" s="2" t="s">
        <v>19</v>
      </c>
      <c r="L522" s="2" t="s">
        <v>35</v>
      </c>
      <c r="M522" s="2" t="s">
        <v>36</v>
      </c>
      <c r="N522" s="2" t="s">
        <v>1046</v>
      </c>
      <c r="O522" s="2" t="s">
        <v>1053</v>
      </c>
      <c r="P522" t="s">
        <v>1079</v>
      </c>
      <c r="Q522">
        <v>2025</v>
      </c>
    </row>
    <row r="523" spans="1:17" x14ac:dyDescent="0.25">
      <c r="A523" s="1" t="s">
        <v>723</v>
      </c>
      <c r="B523" s="3">
        <v>45896</v>
      </c>
      <c r="C523" s="1" t="s">
        <v>167</v>
      </c>
      <c r="D523" s="1" t="s">
        <v>15</v>
      </c>
      <c r="E523" s="1" t="s">
        <v>16</v>
      </c>
      <c r="F523" s="2">
        <v>90.53</v>
      </c>
      <c r="G523" s="2" t="s">
        <v>51</v>
      </c>
      <c r="H523" s="2">
        <v>15</v>
      </c>
      <c r="I523" s="2">
        <v>1358</v>
      </c>
      <c r="J523" s="2" t="s">
        <v>18</v>
      </c>
      <c r="K523" s="2" t="s">
        <v>19</v>
      </c>
      <c r="L523" s="2" t="s">
        <v>47</v>
      </c>
      <c r="M523" s="2" t="s">
        <v>153</v>
      </c>
      <c r="N523" s="2" t="s">
        <v>1051</v>
      </c>
      <c r="O523" s="2" t="s">
        <v>1059</v>
      </c>
      <c r="P523" t="s">
        <v>1079</v>
      </c>
      <c r="Q523">
        <v>2025</v>
      </c>
    </row>
    <row r="524" spans="1:17" x14ac:dyDescent="0.25">
      <c r="A524" s="1" t="s">
        <v>724</v>
      </c>
      <c r="B524" s="3">
        <v>45926</v>
      </c>
      <c r="C524" s="1" t="s">
        <v>190</v>
      </c>
      <c r="D524" s="1" t="s">
        <v>39</v>
      </c>
      <c r="E524" s="1" t="s">
        <v>16</v>
      </c>
      <c r="F524" s="2">
        <v>112.91</v>
      </c>
      <c r="G524" s="2" t="s">
        <v>93</v>
      </c>
      <c r="H524" s="2">
        <v>15</v>
      </c>
      <c r="I524" s="2">
        <v>1693.63</v>
      </c>
      <c r="J524" s="2" t="s">
        <v>18</v>
      </c>
      <c r="K524" s="2" t="s">
        <v>19</v>
      </c>
      <c r="L524" s="2" t="s">
        <v>27</v>
      </c>
      <c r="M524" s="2" t="s">
        <v>59</v>
      </c>
      <c r="N524" s="2" t="s">
        <v>1049</v>
      </c>
      <c r="O524" s="2" t="s">
        <v>1058</v>
      </c>
      <c r="P524" t="s">
        <v>1079</v>
      </c>
      <c r="Q524">
        <v>2025</v>
      </c>
    </row>
    <row r="525" spans="1:17" hidden="1" x14ac:dyDescent="0.25">
      <c r="A525" s="1" t="s">
        <v>725</v>
      </c>
      <c r="B525" s="3">
        <v>45337</v>
      </c>
      <c r="C525" s="1" t="s">
        <v>188</v>
      </c>
      <c r="D525" s="1" t="s">
        <v>24</v>
      </c>
      <c r="E525" s="1" t="s">
        <v>67</v>
      </c>
      <c r="F525" s="2">
        <v>107.86</v>
      </c>
      <c r="G525" s="2" t="s">
        <v>75</v>
      </c>
      <c r="H525" s="2">
        <v>15</v>
      </c>
      <c r="I525" s="2">
        <v>1617.86</v>
      </c>
      <c r="J525" s="2" t="s">
        <v>18</v>
      </c>
      <c r="K525" s="2" t="s">
        <v>19</v>
      </c>
      <c r="L525" s="2" t="s">
        <v>47</v>
      </c>
      <c r="M525" s="2" t="s">
        <v>48</v>
      </c>
      <c r="N525" s="2" t="s">
        <v>1060</v>
      </c>
      <c r="O525" s="2" t="s">
        <v>1047</v>
      </c>
      <c r="P525" t="s">
        <v>1079</v>
      </c>
      <c r="Q525">
        <v>2024</v>
      </c>
    </row>
    <row r="526" spans="1:17" x14ac:dyDescent="0.25">
      <c r="A526" s="1" t="s">
        <v>726</v>
      </c>
      <c r="B526" s="3">
        <v>45858</v>
      </c>
      <c r="C526" s="1" t="s">
        <v>207</v>
      </c>
      <c r="D526" s="1" t="s">
        <v>39</v>
      </c>
      <c r="E526" s="1" t="s">
        <v>71</v>
      </c>
      <c r="F526" s="2">
        <v>128.86000000000001</v>
      </c>
      <c r="G526" s="2" t="s">
        <v>136</v>
      </c>
      <c r="H526" s="2">
        <v>9</v>
      </c>
      <c r="I526" s="2">
        <v>1159.71</v>
      </c>
      <c r="J526" s="2" t="s">
        <v>18</v>
      </c>
      <c r="K526" s="2" t="s">
        <v>34</v>
      </c>
      <c r="L526" s="2" t="s">
        <v>41</v>
      </c>
      <c r="M526" s="2" t="s">
        <v>76</v>
      </c>
      <c r="N526" s="2" t="s">
        <v>1052</v>
      </c>
      <c r="O526" s="2" t="s">
        <v>1055</v>
      </c>
      <c r="P526" t="s">
        <v>1079</v>
      </c>
      <c r="Q526">
        <v>2025</v>
      </c>
    </row>
    <row r="527" spans="1:17" hidden="1" x14ac:dyDescent="0.25">
      <c r="A527" s="1" t="s">
        <v>727</v>
      </c>
      <c r="B527" s="3">
        <v>45619</v>
      </c>
      <c r="C527" s="1" t="s">
        <v>281</v>
      </c>
      <c r="D527" s="1" t="s">
        <v>39</v>
      </c>
      <c r="E527" s="1" t="s">
        <v>71</v>
      </c>
      <c r="F527" s="2">
        <v>1081.75</v>
      </c>
      <c r="G527" s="2" t="s">
        <v>72</v>
      </c>
      <c r="H527" s="2">
        <v>1</v>
      </c>
      <c r="I527" s="2">
        <v>1081.75</v>
      </c>
      <c r="J527" s="2" t="s">
        <v>18</v>
      </c>
      <c r="K527" s="2" t="s">
        <v>34</v>
      </c>
      <c r="L527" s="2" t="s">
        <v>35</v>
      </c>
      <c r="M527" s="2" t="s">
        <v>126</v>
      </c>
      <c r="N527" s="2" t="s">
        <v>1064</v>
      </c>
      <c r="O527" s="2" t="s">
        <v>1063</v>
      </c>
      <c r="P527" t="s">
        <v>1079</v>
      </c>
      <c r="Q527">
        <v>2024</v>
      </c>
    </row>
    <row r="528" spans="1:17" x14ac:dyDescent="0.25">
      <c r="A528" s="1" t="s">
        <v>728</v>
      </c>
      <c r="B528" s="3">
        <v>45658</v>
      </c>
      <c r="C528" s="1" t="s">
        <v>87</v>
      </c>
      <c r="D528" s="1" t="s">
        <v>24</v>
      </c>
      <c r="E528" s="1" t="s">
        <v>45</v>
      </c>
      <c r="F528" s="2">
        <v>324.44</v>
      </c>
      <c r="G528" s="2" t="s">
        <v>170</v>
      </c>
      <c r="H528" s="2">
        <v>11</v>
      </c>
      <c r="I528" s="2">
        <v>3568.87</v>
      </c>
      <c r="J528" s="2" t="s">
        <v>18</v>
      </c>
      <c r="K528" s="2" t="s">
        <v>19</v>
      </c>
      <c r="L528" s="2" t="s">
        <v>47</v>
      </c>
      <c r="M528" s="2" t="s">
        <v>153</v>
      </c>
      <c r="N528" s="2" t="s">
        <v>1050</v>
      </c>
      <c r="O528" s="2" t="s">
        <v>1059</v>
      </c>
      <c r="P528" t="s">
        <v>1079</v>
      </c>
      <c r="Q528">
        <v>2025</v>
      </c>
    </row>
    <row r="529" spans="1:17" hidden="1" x14ac:dyDescent="0.25">
      <c r="A529" s="1" t="s">
        <v>729</v>
      </c>
      <c r="B529" s="3">
        <v>45308</v>
      </c>
      <c r="C529" s="1" t="s">
        <v>439</v>
      </c>
      <c r="D529" s="1" t="s">
        <v>55</v>
      </c>
      <c r="E529" s="1" t="s">
        <v>45</v>
      </c>
      <c r="F529" s="2">
        <v>11.54</v>
      </c>
      <c r="G529" s="2" t="s">
        <v>79</v>
      </c>
      <c r="H529" s="2">
        <v>116</v>
      </c>
      <c r="I529" s="2">
        <v>1339.17</v>
      </c>
      <c r="J529" s="2" t="s">
        <v>18</v>
      </c>
      <c r="K529" s="2" t="s">
        <v>19</v>
      </c>
      <c r="L529" s="2" t="s">
        <v>47</v>
      </c>
      <c r="M529" s="2" t="s">
        <v>48</v>
      </c>
      <c r="N529" s="2" t="s">
        <v>1050</v>
      </c>
      <c r="O529" s="2" t="s">
        <v>1059</v>
      </c>
      <c r="P529" t="s">
        <v>1079</v>
      </c>
      <c r="Q529">
        <v>2024</v>
      </c>
    </row>
    <row r="530" spans="1:17" hidden="1" x14ac:dyDescent="0.25">
      <c r="A530" s="1" t="s">
        <v>730</v>
      </c>
      <c r="B530" s="3">
        <v>45513</v>
      </c>
      <c r="C530" s="1" t="s">
        <v>184</v>
      </c>
      <c r="D530" s="1" t="s">
        <v>55</v>
      </c>
      <c r="E530" s="1" t="s">
        <v>71</v>
      </c>
      <c r="F530" s="2">
        <v>385.46</v>
      </c>
      <c r="G530" s="2" t="s">
        <v>148</v>
      </c>
      <c r="H530" s="2">
        <v>8</v>
      </c>
      <c r="I530" s="2">
        <v>3083.71</v>
      </c>
      <c r="J530" s="2" t="s">
        <v>18</v>
      </c>
      <c r="K530" s="2" t="s">
        <v>19</v>
      </c>
      <c r="L530" s="2" t="s">
        <v>47</v>
      </c>
      <c r="M530" s="2" t="s">
        <v>153</v>
      </c>
      <c r="N530" s="2" t="s">
        <v>1051</v>
      </c>
      <c r="O530" s="2" t="s">
        <v>1058</v>
      </c>
      <c r="P530" t="s">
        <v>1079</v>
      </c>
      <c r="Q530">
        <v>2024</v>
      </c>
    </row>
    <row r="531" spans="1:17" hidden="1" x14ac:dyDescent="0.25">
      <c r="A531" s="1" t="s">
        <v>731</v>
      </c>
      <c r="B531" s="3">
        <v>45413</v>
      </c>
      <c r="C531" s="1" t="s">
        <v>169</v>
      </c>
      <c r="D531" s="1" t="s">
        <v>55</v>
      </c>
      <c r="E531" s="1" t="s">
        <v>25</v>
      </c>
      <c r="F531" s="2">
        <v>81.12</v>
      </c>
      <c r="G531" s="2" t="s">
        <v>90</v>
      </c>
      <c r="H531" s="2">
        <v>11</v>
      </c>
      <c r="I531" s="2">
        <v>892.32</v>
      </c>
      <c r="J531" s="2" t="s">
        <v>33</v>
      </c>
      <c r="K531" s="2" t="s">
        <v>19</v>
      </c>
      <c r="L531" s="2" t="s">
        <v>27</v>
      </c>
      <c r="M531" s="2" t="s">
        <v>59</v>
      </c>
      <c r="N531" s="2" t="s">
        <v>1057</v>
      </c>
      <c r="O531" s="2" t="s">
        <v>1059</v>
      </c>
      <c r="P531" t="s">
        <v>1079</v>
      </c>
      <c r="Q531">
        <v>2024</v>
      </c>
    </row>
    <row r="532" spans="1:17" hidden="1" x14ac:dyDescent="0.25">
      <c r="A532" s="1" t="s">
        <v>732</v>
      </c>
      <c r="B532" s="3">
        <v>45370</v>
      </c>
      <c r="C532" s="1" t="s">
        <v>531</v>
      </c>
      <c r="D532" s="1" t="s">
        <v>24</v>
      </c>
      <c r="E532" s="1" t="s">
        <v>16</v>
      </c>
      <c r="F532" s="2">
        <v>100.29</v>
      </c>
      <c r="G532" s="2" t="s">
        <v>26</v>
      </c>
      <c r="H532" s="2">
        <v>15</v>
      </c>
      <c r="I532" s="2">
        <v>1504.41</v>
      </c>
      <c r="J532" s="2" t="s">
        <v>18</v>
      </c>
      <c r="K532" s="2" t="s">
        <v>19</v>
      </c>
      <c r="L532" s="2" t="s">
        <v>35</v>
      </c>
      <c r="M532" s="2" t="s">
        <v>126</v>
      </c>
      <c r="N532" s="2" t="s">
        <v>1054</v>
      </c>
      <c r="O532" s="2" t="s">
        <v>1053</v>
      </c>
      <c r="P532" t="s">
        <v>1079</v>
      </c>
      <c r="Q532">
        <v>2024</v>
      </c>
    </row>
    <row r="533" spans="1:17" x14ac:dyDescent="0.25">
      <c r="A533" s="1" t="s">
        <v>733</v>
      </c>
      <c r="B533" s="3">
        <v>45844</v>
      </c>
      <c r="C533" s="1" t="s">
        <v>320</v>
      </c>
      <c r="D533" s="1" t="s">
        <v>15</v>
      </c>
      <c r="E533" s="1" t="s">
        <v>25</v>
      </c>
      <c r="F533" s="2">
        <v>228.81</v>
      </c>
      <c r="G533" s="2" t="s">
        <v>82</v>
      </c>
      <c r="H533" s="2">
        <v>10</v>
      </c>
      <c r="I533" s="2">
        <v>2288.11</v>
      </c>
      <c r="J533" s="2" t="s">
        <v>33</v>
      </c>
      <c r="K533" s="2" t="s">
        <v>34</v>
      </c>
      <c r="L533" s="2" t="s">
        <v>47</v>
      </c>
      <c r="M533" s="2" t="s">
        <v>85</v>
      </c>
      <c r="N533" s="2" t="s">
        <v>1052</v>
      </c>
      <c r="O533" s="2" t="s">
        <v>1055</v>
      </c>
      <c r="P533" t="s">
        <v>1079</v>
      </c>
      <c r="Q533">
        <v>2025</v>
      </c>
    </row>
    <row r="534" spans="1:17" hidden="1" x14ac:dyDescent="0.25">
      <c r="A534" s="1" t="s">
        <v>734</v>
      </c>
      <c r="B534" s="3">
        <v>45501</v>
      </c>
      <c r="C534" s="1" t="s">
        <v>152</v>
      </c>
      <c r="D534" s="1" t="s">
        <v>55</v>
      </c>
      <c r="E534" s="1" t="s">
        <v>16</v>
      </c>
      <c r="F534" s="2">
        <v>174</v>
      </c>
      <c r="G534" s="2" t="s">
        <v>148</v>
      </c>
      <c r="H534" s="2">
        <v>9</v>
      </c>
      <c r="I534" s="2">
        <v>1566</v>
      </c>
      <c r="J534" s="2" t="s">
        <v>18</v>
      </c>
      <c r="K534" s="2" t="s">
        <v>34</v>
      </c>
      <c r="L534" s="2" t="s">
        <v>35</v>
      </c>
      <c r="M534" s="2" t="s">
        <v>36</v>
      </c>
      <c r="N534" s="2" t="s">
        <v>1052</v>
      </c>
      <c r="O534" s="2" t="s">
        <v>1055</v>
      </c>
      <c r="P534" t="s">
        <v>1079</v>
      </c>
      <c r="Q534">
        <v>2024</v>
      </c>
    </row>
    <row r="535" spans="1:17" hidden="1" x14ac:dyDescent="0.25">
      <c r="A535" s="1" t="s">
        <v>735</v>
      </c>
      <c r="B535" s="3">
        <v>45364</v>
      </c>
      <c r="C535" s="1" t="s">
        <v>407</v>
      </c>
      <c r="D535" s="1" t="s">
        <v>24</v>
      </c>
      <c r="E535" s="1" t="s">
        <v>67</v>
      </c>
      <c r="F535" s="2">
        <v>1115.5999999999999</v>
      </c>
      <c r="G535" s="2" t="s">
        <v>68</v>
      </c>
      <c r="H535" s="2">
        <v>1</v>
      </c>
      <c r="I535" s="2">
        <v>1115.5999999999999</v>
      </c>
      <c r="J535" s="2" t="s">
        <v>63</v>
      </c>
      <c r="K535" s="2" t="s">
        <v>34</v>
      </c>
      <c r="L535" s="2" t="s">
        <v>41</v>
      </c>
      <c r="M535" s="2" t="s">
        <v>42</v>
      </c>
      <c r="N535" s="2" t="s">
        <v>1054</v>
      </c>
      <c r="O535" s="2" t="s">
        <v>1059</v>
      </c>
      <c r="P535" t="s">
        <v>1079</v>
      </c>
      <c r="Q535">
        <v>2024</v>
      </c>
    </row>
    <row r="536" spans="1:17" x14ac:dyDescent="0.25">
      <c r="A536" s="1" t="s">
        <v>736</v>
      </c>
      <c r="B536" s="3">
        <v>45808</v>
      </c>
      <c r="C536" s="1" t="s">
        <v>123</v>
      </c>
      <c r="D536" s="1" t="s">
        <v>31</v>
      </c>
      <c r="E536" s="1" t="s">
        <v>67</v>
      </c>
      <c r="F536" s="2">
        <v>56.94</v>
      </c>
      <c r="G536" s="2" t="s">
        <v>98</v>
      </c>
      <c r="H536" s="2">
        <v>14</v>
      </c>
      <c r="I536" s="2">
        <v>797.22</v>
      </c>
      <c r="J536" s="2" t="s">
        <v>33</v>
      </c>
      <c r="K536" s="2" t="s">
        <v>19</v>
      </c>
      <c r="L536" s="2" t="s">
        <v>47</v>
      </c>
      <c r="M536" s="2" t="s">
        <v>85</v>
      </c>
      <c r="N536" s="2" t="s">
        <v>1057</v>
      </c>
      <c r="O536" s="2" t="s">
        <v>1063</v>
      </c>
      <c r="P536" t="s">
        <v>1079</v>
      </c>
      <c r="Q536">
        <v>2025</v>
      </c>
    </row>
    <row r="537" spans="1:17" x14ac:dyDescent="0.25">
      <c r="A537" s="1" t="s">
        <v>737</v>
      </c>
      <c r="B537" s="3">
        <v>45706</v>
      </c>
      <c r="C537" s="1" t="s">
        <v>116</v>
      </c>
      <c r="D537" s="1" t="s">
        <v>39</v>
      </c>
      <c r="E537" s="1" t="s">
        <v>71</v>
      </c>
      <c r="F537" s="2">
        <v>101.77</v>
      </c>
      <c r="G537" s="2" t="s">
        <v>136</v>
      </c>
      <c r="H537" s="2">
        <v>15</v>
      </c>
      <c r="I537" s="2">
        <v>1526.61</v>
      </c>
      <c r="J537" s="2" t="s">
        <v>63</v>
      </c>
      <c r="K537" s="2" t="s">
        <v>19</v>
      </c>
      <c r="L537" s="2" t="s">
        <v>20</v>
      </c>
      <c r="M537" s="2" t="s">
        <v>88</v>
      </c>
      <c r="N537" s="2" t="s">
        <v>1060</v>
      </c>
      <c r="O537" s="2" t="s">
        <v>1053</v>
      </c>
      <c r="P537" t="s">
        <v>1079</v>
      </c>
      <c r="Q537">
        <v>2025</v>
      </c>
    </row>
    <row r="538" spans="1:17" hidden="1" x14ac:dyDescent="0.25">
      <c r="A538" s="1" t="s">
        <v>738</v>
      </c>
      <c r="B538" s="3">
        <v>45628</v>
      </c>
      <c r="C538" s="1" t="s">
        <v>348</v>
      </c>
      <c r="D538" s="1" t="s">
        <v>15</v>
      </c>
      <c r="E538" s="1" t="s">
        <v>16</v>
      </c>
      <c r="F538" s="2">
        <v>117.48</v>
      </c>
      <c r="G538" s="2" t="s">
        <v>62</v>
      </c>
      <c r="H538" s="2">
        <v>16</v>
      </c>
      <c r="I538" s="2">
        <v>1879.66</v>
      </c>
      <c r="J538" s="2" t="s">
        <v>18</v>
      </c>
      <c r="K538" s="2" t="s">
        <v>19</v>
      </c>
      <c r="L538" s="2" t="s">
        <v>41</v>
      </c>
      <c r="M538" s="2" t="s">
        <v>42</v>
      </c>
      <c r="N538" s="2" t="s">
        <v>1061</v>
      </c>
      <c r="O538" s="2" t="s">
        <v>1056</v>
      </c>
      <c r="P538" t="s">
        <v>1079</v>
      </c>
      <c r="Q538">
        <v>2024</v>
      </c>
    </row>
    <row r="539" spans="1:17" x14ac:dyDescent="0.25">
      <c r="A539" s="1" t="s">
        <v>739</v>
      </c>
      <c r="B539" s="3">
        <v>45705</v>
      </c>
      <c r="C539" s="1" t="s">
        <v>145</v>
      </c>
      <c r="D539" s="1" t="s">
        <v>39</v>
      </c>
      <c r="E539" s="1" t="s">
        <v>16</v>
      </c>
      <c r="F539" s="2">
        <v>99.94</v>
      </c>
      <c r="G539" s="2" t="s">
        <v>136</v>
      </c>
      <c r="H539" s="2">
        <v>13</v>
      </c>
      <c r="I539" s="2">
        <v>1299.19</v>
      </c>
      <c r="J539" s="2" t="s">
        <v>18</v>
      </c>
      <c r="K539" s="2" t="s">
        <v>19</v>
      </c>
      <c r="L539" s="2" t="s">
        <v>41</v>
      </c>
      <c r="M539" s="2" t="s">
        <v>42</v>
      </c>
      <c r="N539" s="2" t="s">
        <v>1060</v>
      </c>
      <c r="O539" s="2" t="s">
        <v>1056</v>
      </c>
      <c r="P539" t="s">
        <v>1079</v>
      </c>
      <c r="Q539">
        <v>2025</v>
      </c>
    </row>
    <row r="540" spans="1:17" x14ac:dyDescent="0.25">
      <c r="A540" s="1" t="s">
        <v>740</v>
      </c>
      <c r="B540" s="3">
        <v>45696</v>
      </c>
      <c r="C540" s="1" t="s">
        <v>320</v>
      </c>
      <c r="D540" s="1" t="s">
        <v>55</v>
      </c>
      <c r="E540" s="1" t="s">
        <v>25</v>
      </c>
      <c r="F540" s="2">
        <v>219.39</v>
      </c>
      <c r="G540" s="2" t="s">
        <v>90</v>
      </c>
      <c r="H540" s="2">
        <v>10</v>
      </c>
      <c r="I540" s="2">
        <v>2193.88</v>
      </c>
      <c r="J540" s="2" t="s">
        <v>18</v>
      </c>
      <c r="K540" s="2" t="s">
        <v>34</v>
      </c>
      <c r="L540" s="2" t="s">
        <v>20</v>
      </c>
      <c r="M540" s="2" t="s">
        <v>21</v>
      </c>
      <c r="N540" s="2" t="s">
        <v>1060</v>
      </c>
      <c r="O540" s="2" t="s">
        <v>1063</v>
      </c>
      <c r="P540" t="s">
        <v>1079</v>
      </c>
      <c r="Q540">
        <v>2025</v>
      </c>
    </row>
    <row r="541" spans="1:17" hidden="1" x14ac:dyDescent="0.25">
      <c r="A541" s="1" t="s">
        <v>741</v>
      </c>
      <c r="B541" s="3">
        <v>45442</v>
      </c>
      <c r="C541" s="1" t="s">
        <v>50</v>
      </c>
      <c r="D541" s="1" t="s">
        <v>31</v>
      </c>
      <c r="E541" s="1" t="s">
        <v>45</v>
      </c>
      <c r="F541" s="2">
        <v>192.86</v>
      </c>
      <c r="G541" s="2" t="s">
        <v>98</v>
      </c>
      <c r="H541" s="2">
        <v>14</v>
      </c>
      <c r="I541" s="2">
        <v>2700</v>
      </c>
      <c r="J541" s="2" t="s">
        <v>33</v>
      </c>
      <c r="K541" s="2" t="s">
        <v>19</v>
      </c>
      <c r="L541" s="2" t="s">
        <v>20</v>
      </c>
      <c r="M541" s="2" t="s">
        <v>88</v>
      </c>
      <c r="N541" s="2" t="s">
        <v>1057</v>
      </c>
      <c r="O541" s="2" t="s">
        <v>1047</v>
      </c>
      <c r="P541" t="s">
        <v>1079</v>
      </c>
      <c r="Q541">
        <v>2024</v>
      </c>
    </row>
    <row r="542" spans="1:17" hidden="1" x14ac:dyDescent="0.25">
      <c r="A542" s="1" t="s">
        <v>742</v>
      </c>
      <c r="B542" s="3">
        <v>45358</v>
      </c>
      <c r="C542" s="1" t="s">
        <v>108</v>
      </c>
      <c r="D542" s="1" t="s">
        <v>24</v>
      </c>
      <c r="E542" s="1" t="s">
        <v>16</v>
      </c>
      <c r="F542" s="2">
        <v>31.47</v>
      </c>
      <c r="G542" s="2" t="s">
        <v>68</v>
      </c>
      <c r="H542" s="2">
        <v>78</v>
      </c>
      <c r="I542" s="2">
        <v>2454.89</v>
      </c>
      <c r="J542" s="2" t="s">
        <v>63</v>
      </c>
      <c r="K542" s="2" t="s">
        <v>19</v>
      </c>
      <c r="L542" s="2" t="s">
        <v>20</v>
      </c>
      <c r="M542" s="2" t="s">
        <v>21</v>
      </c>
      <c r="N542" s="2" t="s">
        <v>1054</v>
      </c>
      <c r="O542" s="2" t="s">
        <v>1047</v>
      </c>
      <c r="P542" t="s">
        <v>1079</v>
      </c>
      <c r="Q542">
        <v>2024</v>
      </c>
    </row>
    <row r="543" spans="1:17" hidden="1" x14ac:dyDescent="0.25">
      <c r="A543" s="1" t="s">
        <v>743</v>
      </c>
      <c r="B543" s="3">
        <v>45602</v>
      </c>
      <c r="C543" s="1" t="s">
        <v>204</v>
      </c>
      <c r="D543" s="1" t="s">
        <v>24</v>
      </c>
      <c r="E543" s="1" t="s">
        <v>71</v>
      </c>
      <c r="F543" s="2">
        <v>116.36</v>
      </c>
      <c r="G543" s="2" t="s">
        <v>75</v>
      </c>
      <c r="H543" s="2">
        <v>11</v>
      </c>
      <c r="I543" s="2">
        <v>1280</v>
      </c>
      <c r="J543" s="2" t="s">
        <v>18</v>
      </c>
      <c r="K543" s="2" t="s">
        <v>19</v>
      </c>
      <c r="L543" s="2" t="s">
        <v>41</v>
      </c>
      <c r="M543" s="2" t="s">
        <v>141</v>
      </c>
      <c r="N543" s="2" t="s">
        <v>1064</v>
      </c>
      <c r="O543" s="2" t="s">
        <v>1059</v>
      </c>
      <c r="P543" t="s">
        <v>1079</v>
      </c>
      <c r="Q543">
        <v>2024</v>
      </c>
    </row>
    <row r="544" spans="1:17" hidden="1" x14ac:dyDescent="0.25">
      <c r="A544" s="1" t="s">
        <v>744</v>
      </c>
      <c r="B544" s="3">
        <v>45341</v>
      </c>
      <c r="C544" s="1" t="s">
        <v>160</v>
      </c>
      <c r="D544" s="1" t="s">
        <v>31</v>
      </c>
      <c r="E544" s="1" t="s">
        <v>67</v>
      </c>
      <c r="F544" s="2">
        <v>76.069999999999993</v>
      </c>
      <c r="G544" s="2" t="s">
        <v>31</v>
      </c>
      <c r="H544" s="2">
        <v>13</v>
      </c>
      <c r="I544" s="2">
        <v>988.86</v>
      </c>
      <c r="J544" s="2" t="s">
        <v>18</v>
      </c>
      <c r="K544" s="2" t="s">
        <v>19</v>
      </c>
      <c r="L544" s="2" t="s">
        <v>41</v>
      </c>
      <c r="M544" s="2" t="s">
        <v>42</v>
      </c>
      <c r="N544" s="2" t="s">
        <v>1060</v>
      </c>
      <c r="O544" s="2" t="s">
        <v>1056</v>
      </c>
      <c r="P544" t="s">
        <v>1079</v>
      </c>
      <c r="Q544">
        <v>2024</v>
      </c>
    </row>
    <row r="545" spans="1:17" hidden="1" x14ac:dyDescent="0.25">
      <c r="A545" s="1" t="s">
        <v>745</v>
      </c>
      <c r="B545" s="3">
        <v>45378</v>
      </c>
      <c r="C545" s="1" t="s">
        <v>279</v>
      </c>
      <c r="D545" s="1" t="s">
        <v>24</v>
      </c>
      <c r="E545" s="1" t="s">
        <v>16</v>
      </c>
      <c r="F545" s="2">
        <v>65.28</v>
      </c>
      <c r="G545" s="2" t="s">
        <v>68</v>
      </c>
      <c r="H545" s="2">
        <v>23</v>
      </c>
      <c r="I545" s="2">
        <v>1501.39</v>
      </c>
      <c r="J545" s="2" t="s">
        <v>18</v>
      </c>
      <c r="K545" s="2" t="s">
        <v>19</v>
      </c>
      <c r="L545" s="2" t="s">
        <v>47</v>
      </c>
      <c r="M545" s="2" t="s">
        <v>85</v>
      </c>
      <c r="N545" s="2" t="s">
        <v>1054</v>
      </c>
      <c r="O545" s="2" t="s">
        <v>1059</v>
      </c>
      <c r="P545" t="s">
        <v>1079</v>
      </c>
      <c r="Q545">
        <v>2024</v>
      </c>
    </row>
    <row r="546" spans="1:17" x14ac:dyDescent="0.25">
      <c r="A546" s="1" t="s">
        <v>746</v>
      </c>
      <c r="B546" s="3">
        <v>45832</v>
      </c>
      <c r="C546" s="1" t="s">
        <v>351</v>
      </c>
      <c r="D546" s="1" t="s">
        <v>15</v>
      </c>
      <c r="E546" s="1" t="s">
        <v>25</v>
      </c>
      <c r="F546" s="2">
        <v>1594.65</v>
      </c>
      <c r="G546" s="2" t="s">
        <v>62</v>
      </c>
      <c r="H546" s="2">
        <v>1</v>
      </c>
      <c r="I546" s="2">
        <v>1594.65</v>
      </c>
      <c r="J546" s="2" t="s">
        <v>18</v>
      </c>
      <c r="K546" s="2" t="s">
        <v>34</v>
      </c>
      <c r="L546" s="2" t="s">
        <v>47</v>
      </c>
      <c r="M546" s="2" t="s">
        <v>85</v>
      </c>
      <c r="N546" s="2" t="s">
        <v>1062</v>
      </c>
      <c r="O546" s="2" t="s">
        <v>1053</v>
      </c>
      <c r="P546" t="s">
        <v>1079</v>
      </c>
      <c r="Q546">
        <v>2025</v>
      </c>
    </row>
    <row r="547" spans="1:17" x14ac:dyDescent="0.25">
      <c r="A547" s="1" t="s">
        <v>747</v>
      </c>
      <c r="B547" s="3">
        <v>45924</v>
      </c>
      <c r="C547" s="1" t="s">
        <v>152</v>
      </c>
      <c r="D547" s="1" t="s">
        <v>39</v>
      </c>
      <c r="E547" s="1" t="s">
        <v>71</v>
      </c>
      <c r="F547" s="2">
        <v>151.21</v>
      </c>
      <c r="G547" s="2" t="s">
        <v>72</v>
      </c>
      <c r="H547" s="2">
        <v>12</v>
      </c>
      <c r="I547" s="2">
        <v>1814.57</v>
      </c>
      <c r="J547" s="2" t="s">
        <v>33</v>
      </c>
      <c r="K547" s="2" t="s">
        <v>19</v>
      </c>
      <c r="L547" s="2" t="s">
        <v>20</v>
      </c>
      <c r="M547" s="2" t="s">
        <v>64</v>
      </c>
      <c r="N547" s="2" t="s">
        <v>1049</v>
      </c>
      <c r="O547" s="2" t="s">
        <v>1059</v>
      </c>
      <c r="P547" t="s">
        <v>1079</v>
      </c>
      <c r="Q547">
        <v>2025</v>
      </c>
    </row>
    <row r="548" spans="1:17" x14ac:dyDescent="0.25">
      <c r="A548" s="1" t="s">
        <v>748</v>
      </c>
      <c r="B548" s="3">
        <v>45887</v>
      </c>
      <c r="C548" s="1" t="s">
        <v>351</v>
      </c>
      <c r="D548" s="1" t="s">
        <v>24</v>
      </c>
      <c r="E548" s="1" t="s">
        <v>25</v>
      </c>
      <c r="F548" s="2">
        <v>11.24</v>
      </c>
      <c r="G548" s="2" t="s">
        <v>170</v>
      </c>
      <c r="H548" s="2">
        <v>64</v>
      </c>
      <c r="I548" s="2">
        <v>719.27</v>
      </c>
      <c r="J548" s="2" t="s">
        <v>33</v>
      </c>
      <c r="K548" s="2" t="s">
        <v>19</v>
      </c>
      <c r="L548" s="2" t="s">
        <v>41</v>
      </c>
      <c r="M548" s="2" t="s">
        <v>76</v>
      </c>
      <c r="N548" s="2" t="s">
        <v>1051</v>
      </c>
      <c r="O548" s="2" t="s">
        <v>1056</v>
      </c>
      <c r="P548" t="s">
        <v>1079</v>
      </c>
      <c r="Q548">
        <v>2025</v>
      </c>
    </row>
    <row r="549" spans="1:17" hidden="1" x14ac:dyDescent="0.25">
      <c r="A549" s="1" t="s">
        <v>749</v>
      </c>
      <c r="B549" s="3">
        <v>45529</v>
      </c>
      <c r="C549" s="1" t="s">
        <v>54</v>
      </c>
      <c r="D549" s="1" t="s">
        <v>55</v>
      </c>
      <c r="E549" s="1" t="s">
        <v>67</v>
      </c>
      <c r="F549" s="2">
        <v>127.22</v>
      </c>
      <c r="G549" s="2" t="s">
        <v>56</v>
      </c>
      <c r="H549" s="2">
        <v>16</v>
      </c>
      <c r="I549" s="2">
        <v>2035.54</v>
      </c>
      <c r="J549" s="2" t="s">
        <v>18</v>
      </c>
      <c r="K549" s="2" t="s">
        <v>19</v>
      </c>
      <c r="L549" s="2" t="s">
        <v>41</v>
      </c>
      <c r="M549" s="2" t="s">
        <v>76</v>
      </c>
      <c r="N549" s="2" t="s">
        <v>1051</v>
      </c>
      <c r="O549" s="2" t="s">
        <v>1055</v>
      </c>
      <c r="P549" t="s">
        <v>1079</v>
      </c>
      <c r="Q549">
        <v>2024</v>
      </c>
    </row>
    <row r="550" spans="1:17" x14ac:dyDescent="0.25">
      <c r="A550" s="1" t="s">
        <v>750</v>
      </c>
      <c r="B550" s="3">
        <v>45854</v>
      </c>
      <c r="C550" s="1" t="s">
        <v>533</v>
      </c>
      <c r="D550" s="1" t="s">
        <v>15</v>
      </c>
      <c r="E550" s="1" t="s">
        <v>67</v>
      </c>
      <c r="F550" s="2">
        <v>156.86000000000001</v>
      </c>
      <c r="G550" s="2" t="s">
        <v>51</v>
      </c>
      <c r="H550" s="2">
        <v>9</v>
      </c>
      <c r="I550" s="2">
        <v>1411.76</v>
      </c>
      <c r="J550" s="2" t="s">
        <v>18</v>
      </c>
      <c r="K550" s="2" t="s">
        <v>34</v>
      </c>
      <c r="L550" s="2" t="s">
        <v>41</v>
      </c>
      <c r="M550" s="2" t="s">
        <v>42</v>
      </c>
      <c r="N550" s="2" t="s">
        <v>1052</v>
      </c>
      <c r="O550" s="2" t="s">
        <v>1059</v>
      </c>
      <c r="P550" t="s">
        <v>1079</v>
      </c>
      <c r="Q550">
        <v>2025</v>
      </c>
    </row>
    <row r="551" spans="1:17" hidden="1" x14ac:dyDescent="0.25">
      <c r="A551" s="1" t="s">
        <v>751</v>
      </c>
      <c r="B551" s="3">
        <v>45323</v>
      </c>
      <c r="C551" s="1" t="s">
        <v>30</v>
      </c>
      <c r="D551" s="1" t="s">
        <v>24</v>
      </c>
      <c r="E551" s="1" t="s">
        <v>67</v>
      </c>
      <c r="F551" s="2">
        <v>153.36000000000001</v>
      </c>
      <c r="G551" s="2" t="s">
        <v>26</v>
      </c>
      <c r="H551" s="2">
        <v>10</v>
      </c>
      <c r="I551" s="2">
        <v>1533.59</v>
      </c>
      <c r="J551" s="2" t="s">
        <v>18</v>
      </c>
      <c r="K551" s="2" t="s">
        <v>34</v>
      </c>
      <c r="L551" s="2" t="s">
        <v>20</v>
      </c>
      <c r="M551" s="2" t="s">
        <v>88</v>
      </c>
      <c r="N551" s="2" t="s">
        <v>1060</v>
      </c>
      <c r="O551" s="2" t="s">
        <v>1047</v>
      </c>
      <c r="P551" t="s">
        <v>1079</v>
      </c>
      <c r="Q551">
        <v>2024</v>
      </c>
    </row>
    <row r="552" spans="1:17" hidden="1" x14ac:dyDescent="0.25">
      <c r="A552" s="1" t="s">
        <v>752</v>
      </c>
      <c r="B552" s="3">
        <v>45500</v>
      </c>
      <c r="C552" s="1" t="s">
        <v>152</v>
      </c>
      <c r="D552" s="1" t="s">
        <v>31</v>
      </c>
      <c r="E552" s="1" t="s">
        <v>25</v>
      </c>
      <c r="F552" s="2">
        <v>334.58</v>
      </c>
      <c r="G552" s="2" t="s">
        <v>31</v>
      </c>
      <c r="H552" s="2">
        <v>10</v>
      </c>
      <c r="I552" s="2">
        <v>3345.81</v>
      </c>
      <c r="J552" s="2" t="s">
        <v>18</v>
      </c>
      <c r="K552" s="2" t="s">
        <v>19</v>
      </c>
      <c r="L552" s="2" t="s">
        <v>20</v>
      </c>
      <c r="M552" s="2" t="s">
        <v>88</v>
      </c>
      <c r="N552" s="2" t="s">
        <v>1052</v>
      </c>
      <c r="O552" s="2" t="s">
        <v>1063</v>
      </c>
      <c r="P552" t="s">
        <v>1079</v>
      </c>
      <c r="Q552">
        <v>2024</v>
      </c>
    </row>
    <row r="553" spans="1:17" x14ac:dyDescent="0.25">
      <c r="A553" s="1" t="s">
        <v>753</v>
      </c>
      <c r="B553" s="3">
        <v>45771</v>
      </c>
      <c r="C553" s="1" t="s">
        <v>256</v>
      </c>
      <c r="D553" s="1" t="s">
        <v>15</v>
      </c>
      <c r="E553" s="1" t="s">
        <v>25</v>
      </c>
      <c r="F553" s="2">
        <v>195.35</v>
      </c>
      <c r="G553" s="2" t="s">
        <v>17</v>
      </c>
      <c r="H553" s="2">
        <v>13</v>
      </c>
      <c r="I553" s="2">
        <v>2539.56</v>
      </c>
      <c r="J553" s="2" t="s">
        <v>33</v>
      </c>
      <c r="K553" s="2" t="s">
        <v>19</v>
      </c>
      <c r="L553" s="2" t="s">
        <v>27</v>
      </c>
      <c r="M553" s="2" t="s">
        <v>59</v>
      </c>
      <c r="N553" s="2" t="s">
        <v>1048</v>
      </c>
      <c r="O553" s="2" t="s">
        <v>1047</v>
      </c>
      <c r="P553" t="s">
        <v>1079</v>
      </c>
      <c r="Q553">
        <v>2025</v>
      </c>
    </row>
    <row r="554" spans="1:17" hidden="1" x14ac:dyDescent="0.25">
      <c r="A554" s="1" t="s">
        <v>754</v>
      </c>
      <c r="B554" s="3">
        <v>45608</v>
      </c>
      <c r="C554" s="1" t="s">
        <v>755</v>
      </c>
      <c r="D554" s="1" t="s">
        <v>31</v>
      </c>
      <c r="E554" s="1" t="s">
        <v>67</v>
      </c>
      <c r="F554" s="2">
        <v>198.34</v>
      </c>
      <c r="G554" s="2" t="s">
        <v>31</v>
      </c>
      <c r="H554" s="2">
        <v>11</v>
      </c>
      <c r="I554" s="2">
        <v>2181.7399999999998</v>
      </c>
      <c r="J554" s="2" t="s">
        <v>63</v>
      </c>
      <c r="K554" s="2" t="s">
        <v>19</v>
      </c>
      <c r="L554" s="2" t="s">
        <v>27</v>
      </c>
      <c r="M554" s="2" t="s">
        <v>28</v>
      </c>
      <c r="N554" s="2" t="s">
        <v>1064</v>
      </c>
      <c r="O554" s="2" t="s">
        <v>1053</v>
      </c>
      <c r="P554" t="s">
        <v>1079</v>
      </c>
      <c r="Q554">
        <v>2024</v>
      </c>
    </row>
    <row r="555" spans="1:17" hidden="1" x14ac:dyDescent="0.25">
      <c r="A555" s="1" t="s">
        <v>756</v>
      </c>
      <c r="B555" s="3">
        <v>45634</v>
      </c>
      <c r="C555" s="1" t="s">
        <v>143</v>
      </c>
      <c r="D555" s="1" t="s">
        <v>15</v>
      </c>
      <c r="E555" s="1" t="s">
        <v>45</v>
      </c>
      <c r="F555" s="2">
        <v>45.5</v>
      </c>
      <c r="G555" s="2" t="s">
        <v>17</v>
      </c>
      <c r="H555" s="2">
        <v>24</v>
      </c>
      <c r="I555" s="2">
        <v>1092</v>
      </c>
      <c r="J555" s="2" t="s">
        <v>18</v>
      </c>
      <c r="K555" s="2" t="s">
        <v>19</v>
      </c>
      <c r="L555" s="2" t="s">
        <v>47</v>
      </c>
      <c r="M555" s="2" t="s">
        <v>48</v>
      </c>
      <c r="N555" s="2" t="s">
        <v>1061</v>
      </c>
      <c r="O555" s="2" t="s">
        <v>1055</v>
      </c>
      <c r="P555" t="s">
        <v>1079</v>
      </c>
      <c r="Q555">
        <v>2024</v>
      </c>
    </row>
    <row r="556" spans="1:17" x14ac:dyDescent="0.25">
      <c r="A556" s="1" t="s">
        <v>757</v>
      </c>
      <c r="B556" s="3">
        <v>45746</v>
      </c>
      <c r="C556" s="1" t="s">
        <v>237</v>
      </c>
      <c r="D556" s="1" t="s">
        <v>55</v>
      </c>
      <c r="E556" s="1" t="s">
        <v>67</v>
      </c>
      <c r="F556" s="2">
        <v>92.53</v>
      </c>
      <c r="G556" s="2" t="s">
        <v>56</v>
      </c>
      <c r="H556" s="2">
        <v>7</v>
      </c>
      <c r="I556" s="2">
        <v>647.69000000000005</v>
      </c>
      <c r="J556" s="2" t="s">
        <v>18</v>
      </c>
      <c r="K556" s="2" t="s">
        <v>34</v>
      </c>
      <c r="L556" s="2" t="s">
        <v>47</v>
      </c>
      <c r="M556" s="2" t="s">
        <v>85</v>
      </c>
      <c r="N556" s="2" t="s">
        <v>1054</v>
      </c>
      <c r="O556" s="2" t="s">
        <v>1055</v>
      </c>
      <c r="P556" t="s">
        <v>1079</v>
      </c>
      <c r="Q556">
        <v>2025</v>
      </c>
    </row>
    <row r="557" spans="1:17" hidden="1" x14ac:dyDescent="0.25">
      <c r="A557" s="1" t="s">
        <v>758</v>
      </c>
      <c r="B557" s="3">
        <v>45520</v>
      </c>
      <c r="C557" s="1" t="s">
        <v>169</v>
      </c>
      <c r="D557" s="1" t="s">
        <v>55</v>
      </c>
      <c r="E557" s="1" t="s">
        <v>16</v>
      </c>
      <c r="F557" s="2">
        <v>119.87</v>
      </c>
      <c r="G557" s="2" t="s">
        <v>90</v>
      </c>
      <c r="H557" s="2">
        <v>13</v>
      </c>
      <c r="I557" s="2">
        <v>1558.3</v>
      </c>
      <c r="J557" s="2" t="s">
        <v>18</v>
      </c>
      <c r="K557" s="2" t="s">
        <v>19</v>
      </c>
      <c r="L557" s="2" t="s">
        <v>35</v>
      </c>
      <c r="M557" s="2" t="s">
        <v>126</v>
      </c>
      <c r="N557" s="2" t="s">
        <v>1051</v>
      </c>
      <c r="O557" s="2" t="s">
        <v>1058</v>
      </c>
      <c r="P557" t="s">
        <v>1079</v>
      </c>
      <c r="Q557">
        <v>2024</v>
      </c>
    </row>
    <row r="558" spans="1:17" hidden="1" x14ac:dyDescent="0.25">
      <c r="A558" s="1" t="s">
        <v>759</v>
      </c>
      <c r="B558" s="3">
        <v>45455</v>
      </c>
      <c r="C558" s="1" t="s">
        <v>242</v>
      </c>
      <c r="D558" s="1" t="s">
        <v>24</v>
      </c>
      <c r="E558" s="1" t="s">
        <v>25</v>
      </c>
      <c r="F558" s="2">
        <v>110.7</v>
      </c>
      <c r="G558" s="2" t="s">
        <v>26</v>
      </c>
      <c r="H558" s="2">
        <v>10</v>
      </c>
      <c r="I558" s="2">
        <v>1106.96</v>
      </c>
      <c r="J558" s="2" t="s">
        <v>18</v>
      </c>
      <c r="K558" s="2" t="s">
        <v>34</v>
      </c>
      <c r="L558" s="2" t="s">
        <v>20</v>
      </c>
      <c r="M558" s="2" t="s">
        <v>64</v>
      </c>
      <c r="N558" s="2" t="s">
        <v>1062</v>
      </c>
      <c r="O558" s="2" t="s">
        <v>1059</v>
      </c>
      <c r="P558" t="s">
        <v>1079</v>
      </c>
      <c r="Q558">
        <v>2024</v>
      </c>
    </row>
    <row r="559" spans="1:17" x14ac:dyDescent="0.25">
      <c r="A559" s="1" t="s">
        <v>760</v>
      </c>
      <c r="B559" s="3">
        <v>45875</v>
      </c>
      <c r="C559" s="1" t="s">
        <v>54</v>
      </c>
      <c r="D559" s="1" t="s">
        <v>15</v>
      </c>
      <c r="E559" s="1" t="s">
        <v>16</v>
      </c>
      <c r="F559" s="2">
        <v>342.39</v>
      </c>
      <c r="G559" s="2" t="s">
        <v>51</v>
      </c>
      <c r="H559" s="2">
        <v>9</v>
      </c>
      <c r="I559" s="2">
        <v>3081.54</v>
      </c>
      <c r="J559" s="2" t="s">
        <v>63</v>
      </c>
      <c r="K559" s="2" t="s">
        <v>19</v>
      </c>
      <c r="L559" s="2" t="s">
        <v>41</v>
      </c>
      <c r="M559" s="2" t="s">
        <v>42</v>
      </c>
      <c r="N559" s="2" t="s">
        <v>1051</v>
      </c>
      <c r="O559" s="2" t="s">
        <v>1059</v>
      </c>
      <c r="P559" t="s">
        <v>1079</v>
      </c>
      <c r="Q559">
        <v>2025</v>
      </c>
    </row>
    <row r="560" spans="1:17" x14ac:dyDescent="0.25">
      <c r="A560" s="1" t="s">
        <v>761</v>
      </c>
      <c r="B560" s="3">
        <v>45747</v>
      </c>
      <c r="C560" s="1" t="s">
        <v>327</v>
      </c>
      <c r="D560" s="1" t="s">
        <v>55</v>
      </c>
      <c r="E560" s="1" t="s">
        <v>25</v>
      </c>
      <c r="F560" s="2">
        <v>81.38</v>
      </c>
      <c r="G560" s="2" t="s">
        <v>148</v>
      </c>
      <c r="H560" s="2">
        <v>14</v>
      </c>
      <c r="I560" s="2">
        <v>1139.32</v>
      </c>
      <c r="J560" s="2" t="s">
        <v>18</v>
      </c>
      <c r="K560" s="2" t="s">
        <v>19</v>
      </c>
      <c r="L560" s="2" t="s">
        <v>35</v>
      </c>
      <c r="M560" s="2" t="s">
        <v>36</v>
      </c>
      <c r="N560" s="2" t="s">
        <v>1054</v>
      </c>
      <c r="O560" s="2" t="s">
        <v>1056</v>
      </c>
      <c r="P560" t="s">
        <v>1079</v>
      </c>
      <c r="Q560">
        <v>2025</v>
      </c>
    </row>
    <row r="561" spans="1:17" hidden="1" x14ac:dyDescent="0.25">
      <c r="A561" s="1" t="s">
        <v>762</v>
      </c>
      <c r="B561" s="3">
        <v>45314</v>
      </c>
      <c r="C561" s="1" t="s">
        <v>145</v>
      </c>
      <c r="D561" s="1" t="s">
        <v>39</v>
      </c>
      <c r="E561" s="1" t="s">
        <v>45</v>
      </c>
      <c r="F561" s="2">
        <v>245.71</v>
      </c>
      <c r="G561" s="2" t="s">
        <v>72</v>
      </c>
      <c r="H561" s="2">
        <v>7</v>
      </c>
      <c r="I561" s="2">
        <v>1720</v>
      </c>
      <c r="J561" s="2" t="s">
        <v>18</v>
      </c>
      <c r="K561" s="2" t="s">
        <v>34</v>
      </c>
      <c r="L561" s="2" t="s">
        <v>47</v>
      </c>
      <c r="M561" s="2" t="s">
        <v>85</v>
      </c>
      <c r="N561" s="2" t="s">
        <v>1050</v>
      </c>
      <c r="O561" s="2" t="s">
        <v>1053</v>
      </c>
      <c r="P561" t="s">
        <v>1079</v>
      </c>
      <c r="Q561">
        <v>2024</v>
      </c>
    </row>
    <row r="562" spans="1:17" hidden="1" x14ac:dyDescent="0.25">
      <c r="A562" s="1" t="s">
        <v>763</v>
      </c>
      <c r="B562" s="3">
        <v>45589</v>
      </c>
      <c r="C562" s="1" t="s">
        <v>158</v>
      </c>
      <c r="D562" s="1" t="s">
        <v>15</v>
      </c>
      <c r="E562" s="1" t="s">
        <v>67</v>
      </c>
      <c r="F562" s="2">
        <v>19.440000000000001</v>
      </c>
      <c r="G562" s="2" t="s">
        <v>62</v>
      </c>
      <c r="H562" s="2">
        <v>120</v>
      </c>
      <c r="I562" s="2">
        <v>2333.11</v>
      </c>
      <c r="J562" s="2" t="s">
        <v>18</v>
      </c>
      <c r="K562" s="2" t="s">
        <v>19</v>
      </c>
      <c r="L562" s="2" t="s">
        <v>47</v>
      </c>
      <c r="M562" s="2" t="s">
        <v>48</v>
      </c>
      <c r="N562" s="2" t="s">
        <v>1046</v>
      </c>
      <c r="O562" s="2" t="s">
        <v>1047</v>
      </c>
      <c r="P562" t="s">
        <v>1079</v>
      </c>
      <c r="Q562">
        <v>2024</v>
      </c>
    </row>
    <row r="563" spans="1:17" x14ac:dyDescent="0.25">
      <c r="A563" s="1" t="s">
        <v>764</v>
      </c>
      <c r="B563" s="3">
        <v>45895</v>
      </c>
      <c r="C563" s="1" t="s">
        <v>453</v>
      </c>
      <c r="D563" s="1" t="s">
        <v>39</v>
      </c>
      <c r="E563" s="1" t="s">
        <v>67</v>
      </c>
      <c r="F563" s="2">
        <v>217.14</v>
      </c>
      <c r="G563" s="2" t="s">
        <v>72</v>
      </c>
      <c r="H563" s="2">
        <v>16</v>
      </c>
      <c r="I563" s="2">
        <v>3474.3</v>
      </c>
      <c r="J563" s="2" t="s">
        <v>18</v>
      </c>
      <c r="K563" s="2" t="s">
        <v>19</v>
      </c>
      <c r="L563" s="2" t="s">
        <v>27</v>
      </c>
      <c r="M563" s="2" t="s">
        <v>59</v>
      </c>
      <c r="N563" s="2" t="s">
        <v>1051</v>
      </c>
      <c r="O563" s="2" t="s">
        <v>1053</v>
      </c>
      <c r="P563" t="s">
        <v>1079</v>
      </c>
      <c r="Q563">
        <v>2025</v>
      </c>
    </row>
    <row r="564" spans="1:17" x14ac:dyDescent="0.25">
      <c r="A564" s="1" t="s">
        <v>765</v>
      </c>
      <c r="B564" s="3">
        <v>45794</v>
      </c>
      <c r="C564" s="1" t="s">
        <v>320</v>
      </c>
      <c r="D564" s="1" t="s">
        <v>39</v>
      </c>
      <c r="E564" s="1" t="s">
        <v>71</v>
      </c>
      <c r="F564" s="2">
        <v>130.83000000000001</v>
      </c>
      <c r="G564" s="2" t="s">
        <v>1083</v>
      </c>
      <c r="H564" s="2">
        <v>11</v>
      </c>
      <c r="I564" s="2">
        <v>1439.13</v>
      </c>
      <c r="J564" s="2" t="s">
        <v>18</v>
      </c>
      <c r="K564" s="2" t="s">
        <v>19</v>
      </c>
      <c r="L564" s="2" t="s">
        <v>47</v>
      </c>
      <c r="M564" s="2" t="s">
        <v>48</v>
      </c>
      <c r="N564" s="2" t="s">
        <v>1057</v>
      </c>
      <c r="O564" s="2" t="s">
        <v>1063</v>
      </c>
      <c r="P564" t="s">
        <v>1079</v>
      </c>
      <c r="Q564">
        <v>2025</v>
      </c>
    </row>
    <row r="565" spans="1:17" x14ac:dyDescent="0.25">
      <c r="A565" s="1" t="s">
        <v>766</v>
      </c>
      <c r="B565" s="3">
        <v>45948</v>
      </c>
      <c r="C565" s="1" t="s">
        <v>767</v>
      </c>
      <c r="D565" s="1" t="s">
        <v>55</v>
      </c>
      <c r="E565" s="1" t="s">
        <v>67</v>
      </c>
      <c r="F565" s="2">
        <v>157.38</v>
      </c>
      <c r="G565" s="2" t="s">
        <v>90</v>
      </c>
      <c r="H565" s="2">
        <v>14</v>
      </c>
      <c r="I565" s="2">
        <v>2203.3200000000002</v>
      </c>
      <c r="J565" s="2" t="s">
        <v>63</v>
      </c>
      <c r="K565" s="2" t="s">
        <v>19</v>
      </c>
      <c r="L565" s="2" t="s">
        <v>47</v>
      </c>
      <c r="M565" s="2" t="s">
        <v>153</v>
      </c>
      <c r="N565" s="2" t="s">
        <v>1046</v>
      </c>
      <c r="O565" s="2" t="s">
        <v>1063</v>
      </c>
      <c r="P565" t="s">
        <v>1079</v>
      </c>
      <c r="Q565">
        <v>2025</v>
      </c>
    </row>
    <row r="566" spans="1:17" hidden="1" x14ac:dyDescent="0.25">
      <c r="A566" s="1" t="s">
        <v>768</v>
      </c>
      <c r="B566" s="3">
        <v>45563</v>
      </c>
      <c r="C566" s="1" t="s">
        <v>95</v>
      </c>
      <c r="D566" s="1" t="s">
        <v>15</v>
      </c>
      <c r="E566" s="1" t="s">
        <v>25</v>
      </c>
      <c r="F566" s="2">
        <v>109.14</v>
      </c>
      <c r="G566" s="2" t="s">
        <v>62</v>
      </c>
      <c r="H566" s="2">
        <v>14</v>
      </c>
      <c r="I566" s="2">
        <v>1528</v>
      </c>
      <c r="J566" s="2" t="s">
        <v>18</v>
      </c>
      <c r="K566" s="2" t="s">
        <v>19</v>
      </c>
      <c r="L566" s="2" t="s">
        <v>41</v>
      </c>
      <c r="M566" s="2" t="s">
        <v>42</v>
      </c>
      <c r="N566" s="2" t="s">
        <v>1049</v>
      </c>
      <c r="O566" s="2" t="s">
        <v>1063</v>
      </c>
      <c r="P566" t="s">
        <v>1079</v>
      </c>
      <c r="Q566">
        <v>2024</v>
      </c>
    </row>
    <row r="567" spans="1:17" x14ac:dyDescent="0.25">
      <c r="A567" s="1" t="s">
        <v>769</v>
      </c>
      <c r="B567" s="3">
        <v>45853</v>
      </c>
      <c r="C567" s="1" t="s">
        <v>97</v>
      </c>
      <c r="D567" s="1" t="s">
        <v>55</v>
      </c>
      <c r="E567" s="1" t="s">
        <v>25</v>
      </c>
      <c r="F567" s="2">
        <v>93.34</v>
      </c>
      <c r="G567" s="2" t="s">
        <v>148</v>
      </c>
      <c r="H567" s="2">
        <v>12</v>
      </c>
      <c r="I567" s="2">
        <v>1120.06</v>
      </c>
      <c r="J567" s="2" t="s">
        <v>18</v>
      </c>
      <c r="K567" s="2" t="s">
        <v>19</v>
      </c>
      <c r="L567" s="2" t="s">
        <v>47</v>
      </c>
      <c r="M567" s="2" t="s">
        <v>48</v>
      </c>
      <c r="N567" s="2" t="s">
        <v>1052</v>
      </c>
      <c r="O567" s="2" t="s">
        <v>1053</v>
      </c>
      <c r="P567" t="s">
        <v>1079</v>
      </c>
      <c r="Q567">
        <v>2025</v>
      </c>
    </row>
    <row r="568" spans="1:17" x14ac:dyDescent="0.25">
      <c r="A568" s="1" t="s">
        <v>770</v>
      </c>
      <c r="B568" s="3">
        <v>45670</v>
      </c>
      <c r="C568" s="1" t="s">
        <v>235</v>
      </c>
      <c r="D568" s="1" t="s">
        <v>24</v>
      </c>
      <c r="E568" s="1" t="s">
        <v>16</v>
      </c>
      <c r="F568" s="2">
        <v>168.77</v>
      </c>
      <c r="G568" s="2" t="s">
        <v>170</v>
      </c>
      <c r="H568" s="2">
        <v>7</v>
      </c>
      <c r="I568" s="2">
        <v>1181.3800000000001</v>
      </c>
      <c r="J568" s="2" t="s">
        <v>18</v>
      </c>
      <c r="K568" s="2" t="s">
        <v>34</v>
      </c>
      <c r="L568" s="2" t="s">
        <v>27</v>
      </c>
      <c r="M568" s="2" t="s">
        <v>59</v>
      </c>
      <c r="N568" s="2" t="s">
        <v>1050</v>
      </c>
      <c r="O568" s="2" t="s">
        <v>1056</v>
      </c>
      <c r="P568" t="s">
        <v>1079</v>
      </c>
      <c r="Q568">
        <v>2025</v>
      </c>
    </row>
    <row r="569" spans="1:17" x14ac:dyDescent="0.25">
      <c r="A569" s="1" t="s">
        <v>771</v>
      </c>
      <c r="B569" s="3">
        <v>45958</v>
      </c>
      <c r="C569" s="1" t="s">
        <v>54</v>
      </c>
      <c r="D569" s="1" t="s">
        <v>39</v>
      </c>
      <c r="E569" s="1" t="s">
        <v>67</v>
      </c>
      <c r="F569" s="2">
        <v>101.39</v>
      </c>
      <c r="G569" s="2" t="s">
        <v>93</v>
      </c>
      <c r="H569" s="2">
        <v>10</v>
      </c>
      <c r="I569" s="2">
        <v>1013.94</v>
      </c>
      <c r="J569" s="2" t="s">
        <v>18</v>
      </c>
      <c r="K569" s="2" t="s">
        <v>34</v>
      </c>
      <c r="L569" s="2" t="s">
        <v>27</v>
      </c>
      <c r="M569" s="2" t="s">
        <v>161</v>
      </c>
      <c r="N569" s="2" t="s">
        <v>1046</v>
      </c>
      <c r="O569" s="2" t="s">
        <v>1053</v>
      </c>
      <c r="P569" t="s">
        <v>1079</v>
      </c>
      <c r="Q569">
        <v>2025</v>
      </c>
    </row>
    <row r="570" spans="1:17" x14ac:dyDescent="0.25">
      <c r="A570" s="1" t="s">
        <v>772</v>
      </c>
      <c r="B570" s="3">
        <v>45881</v>
      </c>
      <c r="C570" s="1" t="s">
        <v>169</v>
      </c>
      <c r="D570" s="1" t="s">
        <v>55</v>
      </c>
      <c r="E570" s="1" t="s">
        <v>67</v>
      </c>
      <c r="F570" s="2">
        <v>51.36</v>
      </c>
      <c r="G570" s="2" t="s">
        <v>56</v>
      </c>
      <c r="H570" s="2">
        <v>15</v>
      </c>
      <c r="I570" s="2">
        <v>770.33</v>
      </c>
      <c r="J570" s="2" t="s">
        <v>18</v>
      </c>
      <c r="K570" s="2" t="s">
        <v>19</v>
      </c>
      <c r="L570" s="2" t="s">
        <v>27</v>
      </c>
      <c r="M570" s="2" t="s">
        <v>59</v>
      </c>
      <c r="N570" s="2" t="s">
        <v>1051</v>
      </c>
      <c r="O570" s="2" t="s">
        <v>1053</v>
      </c>
      <c r="P570" t="s">
        <v>1079</v>
      </c>
      <c r="Q570">
        <v>2025</v>
      </c>
    </row>
    <row r="571" spans="1:17" hidden="1" x14ac:dyDescent="0.25">
      <c r="A571" s="1" t="s">
        <v>773</v>
      </c>
      <c r="B571" s="3">
        <v>45509</v>
      </c>
      <c r="C571" s="1" t="s">
        <v>108</v>
      </c>
      <c r="D571" s="1" t="s">
        <v>39</v>
      </c>
      <c r="E571" s="1" t="s">
        <v>71</v>
      </c>
      <c r="F571" s="2">
        <v>88.27</v>
      </c>
      <c r="G571" s="2" t="s">
        <v>136</v>
      </c>
      <c r="H571" s="2">
        <v>14</v>
      </c>
      <c r="I571" s="2">
        <v>1235.76</v>
      </c>
      <c r="J571" s="2" t="s">
        <v>18</v>
      </c>
      <c r="K571" s="2" t="s">
        <v>19</v>
      </c>
      <c r="L571" s="2" t="s">
        <v>41</v>
      </c>
      <c r="M571" s="2" t="s">
        <v>76</v>
      </c>
      <c r="N571" s="2" t="s">
        <v>1051</v>
      </c>
      <c r="O571" s="2" t="s">
        <v>1056</v>
      </c>
      <c r="P571" t="s">
        <v>1079</v>
      </c>
      <c r="Q571">
        <v>2024</v>
      </c>
    </row>
    <row r="572" spans="1:17" x14ac:dyDescent="0.25">
      <c r="A572" s="1" t="s">
        <v>774</v>
      </c>
      <c r="B572" s="3">
        <v>45836</v>
      </c>
      <c r="C572" s="1" t="s">
        <v>81</v>
      </c>
      <c r="D572" s="1" t="s">
        <v>55</v>
      </c>
      <c r="E572" s="1" t="s">
        <v>67</v>
      </c>
      <c r="F572" s="2">
        <v>115.26</v>
      </c>
      <c r="G572" s="2" t="s">
        <v>79</v>
      </c>
      <c r="H572" s="2">
        <v>10</v>
      </c>
      <c r="I572" s="2">
        <v>1152.56</v>
      </c>
      <c r="J572" s="2" t="s">
        <v>63</v>
      </c>
      <c r="K572" s="2" t="s">
        <v>34</v>
      </c>
      <c r="L572" s="2" t="s">
        <v>20</v>
      </c>
      <c r="M572" s="2" t="s">
        <v>88</v>
      </c>
      <c r="N572" s="2" t="s">
        <v>1062</v>
      </c>
      <c r="O572" s="2" t="s">
        <v>1063</v>
      </c>
      <c r="P572" t="s">
        <v>1079</v>
      </c>
      <c r="Q572">
        <v>2025</v>
      </c>
    </row>
    <row r="573" spans="1:17" x14ac:dyDescent="0.25">
      <c r="A573" s="1" t="s">
        <v>775</v>
      </c>
      <c r="B573" s="3">
        <v>45888</v>
      </c>
      <c r="C573" s="1" t="s">
        <v>235</v>
      </c>
      <c r="D573" s="1" t="s">
        <v>15</v>
      </c>
      <c r="E573" s="1" t="s">
        <v>67</v>
      </c>
      <c r="F573" s="2">
        <v>118.31</v>
      </c>
      <c r="G573" s="2" t="s">
        <v>51</v>
      </c>
      <c r="H573" s="2">
        <v>17</v>
      </c>
      <c r="I573" s="2">
        <v>2011.2</v>
      </c>
      <c r="J573" s="2" t="s">
        <v>18</v>
      </c>
      <c r="K573" s="2" t="s">
        <v>19</v>
      </c>
      <c r="L573" s="2" t="s">
        <v>47</v>
      </c>
      <c r="M573" s="2" t="s">
        <v>48</v>
      </c>
      <c r="N573" s="2" t="s">
        <v>1051</v>
      </c>
      <c r="O573" s="2" t="s">
        <v>1053</v>
      </c>
      <c r="P573" t="s">
        <v>1079</v>
      </c>
      <c r="Q573">
        <v>2025</v>
      </c>
    </row>
    <row r="574" spans="1:17" hidden="1" x14ac:dyDescent="0.25">
      <c r="A574" s="1" t="s">
        <v>776</v>
      </c>
      <c r="B574" s="3">
        <v>45524</v>
      </c>
      <c r="C574" s="1" t="s">
        <v>92</v>
      </c>
      <c r="D574" s="1" t="s">
        <v>24</v>
      </c>
      <c r="E574" s="1" t="s">
        <v>45</v>
      </c>
      <c r="F574" s="2">
        <v>66.849999999999994</v>
      </c>
      <c r="G574" s="2" t="s">
        <v>170</v>
      </c>
      <c r="H574" s="2">
        <v>11</v>
      </c>
      <c r="I574" s="2">
        <v>13174.279999999999</v>
      </c>
      <c r="J574" s="2" t="s">
        <v>33</v>
      </c>
      <c r="K574" s="2" t="s">
        <v>19</v>
      </c>
      <c r="L574" s="2" t="s">
        <v>27</v>
      </c>
      <c r="M574" s="2" t="s">
        <v>59</v>
      </c>
      <c r="N574" s="2" t="s">
        <v>1051</v>
      </c>
      <c r="O574" s="2" t="s">
        <v>1053</v>
      </c>
      <c r="P574" t="s">
        <v>1078</v>
      </c>
      <c r="Q574">
        <v>2024</v>
      </c>
    </row>
    <row r="575" spans="1:17" x14ac:dyDescent="0.25">
      <c r="A575" s="1" t="s">
        <v>777</v>
      </c>
      <c r="B575" s="3">
        <v>45705</v>
      </c>
      <c r="C575" s="1" t="s">
        <v>104</v>
      </c>
      <c r="D575" s="1" t="s">
        <v>31</v>
      </c>
      <c r="E575" s="1" t="s">
        <v>45</v>
      </c>
      <c r="F575" s="2">
        <v>191.08</v>
      </c>
      <c r="G575" s="2" t="s">
        <v>46</v>
      </c>
      <c r="H575" s="2">
        <v>13</v>
      </c>
      <c r="I575" s="2">
        <v>2484</v>
      </c>
      <c r="J575" s="2" t="s">
        <v>18</v>
      </c>
      <c r="K575" s="2" t="s">
        <v>19</v>
      </c>
      <c r="L575" s="2" t="s">
        <v>27</v>
      </c>
      <c r="M575" s="2" t="s">
        <v>28</v>
      </c>
      <c r="N575" s="2" t="s">
        <v>1060</v>
      </c>
      <c r="O575" s="2" t="s">
        <v>1056</v>
      </c>
      <c r="P575" t="s">
        <v>1079</v>
      </c>
      <c r="Q575">
        <v>2025</v>
      </c>
    </row>
    <row r="576" spans="1:17" hidden="1" x14ac:dyDescent="0.25">
      <c r="A576" s="1" t="s">
        <v>778</v>
      </c>
      <c r="B576" s="3">
        <v>45518</v>
      </c>
      <c r="C576" s="1" t="s">
        <v>78</v>
      </c>
      <c r="D576" s="1" t="s">
        <v>39</v>
      </c>
      <c r="E576" s="1" t="s">
        <v>67</v>
      </c>
      <c r="F576" s="2">
        <v>127.76</v>
      </c>
      <c r="G576" s="2" t="s">
        <v>72</v>
      </c>
      <c r="H576" s="2">
        <v>15</v>
      </c>
      <c r="I576" s="2">
        <v>1916.38</v>
      </c>
      <c r="J576" s="2" t="s">
        <v>33</v>
      </c>
      <c r="K576" s="2" t="s">
        <v>19</v>
      </c>
      <c r="L576" s="2" t="s">
        <v>35</v>
      </c>
      <c r="M576" s="2" t="s">
        <v>126</v>
      </c>
      <c r="N576" s="2" t="s">
        <v>1051</v>
      </c>
      <c r="O576" s="2" t="s">
        <v>1059</v>
      </c>
      <c r="P576" t="s">
        <v>1079</v>
      </c>
      <c r="Q576">
        <v>2024</v>
      </c>
    </row>
    <row r="577" spans="1:17" x14ac:dyDescent="0.25">
      <c r="A577" s="1" t="s">
        <v>779</v>
      </c>
      <c r="B577" s="3">
        <v>45953</v>
      </c>
      <c r="C577" s="1" t="s">
        <v>81</v>
      </c>
      <c r="D577" s="1" t="s">
        <v>15</v>
      </c>
      <c r="E577" s="1" t="s">
        <v>71</v>
      </c>
      <c r="F577" s="2">
        <v>34.15</v>
      </c>
      <c r="G577" s="2" t="s">
        <v>17</v>
      </c>
      <c r="H577" s="2">
        <v>78</v>
      </c>
      <c r="I577" s="2">
        <v>166.2715</v>
      </c>
      <c r="J577" s="2" t="s">
        <v>63</v>
      </c>
      <c r="K577" s="2" t="s">
        <v>19</v>
      </c>
      <c r="L577" s="2" t="s">
        <v>27</v>
      </c>
      <c r="M577" s="2" t="s">
        <v>59</v>
      </c>
      <c r="N577" s="2" t="s">
        <v>1046</v>
      </c>
      <c r="O577" s="2" t="s">
        <v>1047</v>
      </c>
      <c r="P577" t="s">
        <v>1079</v>
      </c>
      <c r="Q577">
        <v>2025</v>
      </c>
    </row>
    <row r="578" spans="1:17" x14ac:dyDescent="0.25">
      <c r="A578" s="1" t="s">
        <v>780</v>
      </c>
      <c r="B578" s="3">
        <v>45706</v>
      </c>
      <c r="C578" s="1" t="s">
        <v>240</v>
      </c>
      <c r="D578" s="1" t="s">
        <v>31</v>
      </c>
      <c r="E578" s="1" t="s">
        <v>71</v>
      </c>
      <c r="F578" s="2">
        <v>144.88999999999999</v>
      </c>
      <c r="G578" s="2" t="s">
        <v>46</v>
      </c>
      <c r="H578" s="2">
        <v>11</v>
      </c>
      <c r="I578" s="2">
        <v>1593.75</v>
      </c>
      <c r="J578" s="2" t="s">
        <v>33</v>
      </c>
      <c r="K578" s="2" t="s">
        <v>19</v>
      </c>
      <c r="L578" s="2" t="s">
        <v>20</v>
      </c>
      <c r="M578" s="2" t="s">
        <v>64</v>
      </c>
      <c r="N578" s="2" t="s">
        <v>1060</v>
      </c>
      <c r="O578" s="2" t="s">
        <v>1053</v>
      </c>
      <c r="P578" t="s">
        <v>1079</v>
      </c>
      <c r="Q578">
        <v>2025</v>
      </c>
    </row>
    <row r="579" spans="1:17" x14ac:dyDescent="0.25">
      <c r="A579" s="1" t="s">
        <v>781</v>
      </c>
      <c r="B579" s="3">
        <v>45879</v>
      </c>
      <c r="C579" s="1" t="s">
        <v>431</v>
      </c>
      <c r="D579" s="1" t="s">
        <v>39</v>
      </c>
      <c r="E579" s="1" t="s">
        <v>71</v>
      </c>
      <c r="F579" s="2">
        <v>2978.8</v>
      </c>
      <c r="G579" s="2" t="s">
        <v>40</v>
      </c>
      <c r="H579" s="2">
        <v>1</v>
      </c>
      <c r="I579" s="2">
        <v>2978.8</v>
      </c>
      <c r="J579" s="2" t="s">
        <v>63</v>
      </c>
      <c r="K579" s="2" t="s">
        <v>34</v>
      </c>
      <c r="L579" s="2" t="s">
        <v>47</v>
      </c>
      <c r="M579" s="2" t="s">
        <v>85</v>
      </c>
      <c r="N579" s="2" t="s">
        <v>1051</v>
      </c>
      <c r="O579" s="2" t="s">
        <v>1055</v>
      </c>
      <c r="P579" t="s">
        <v>1079</v>
      </c>
      <c r="Q579">
        <v>2025</v>
      </c>
    </row>
    <row r="580" spans="1:17" hidden="1" x14ac:dyDescent="0.25">
      <c r="A580" s="1" t="s">
        <v>782</v>
      </c>
      <c r="B580" s="3">
        <v>45452</v>
      </c>
      <c r="C580" s="1" t="s">
        <v>266</v>
      </c>
      <c r="D580" s="1" t="s">
        <v>15</v>
      </c>
      <c r="E580" s="1" t="s">
        <v>16</v>
      </c>
      <c r="F580" s="2">
        <v>442.38</v>
      </c>
      <c r="G580" s="2" t="s">
        <v>51</v>
      </c>
      <c r="H580" s="2">
        <v>8</v>
      </c>
      <c r="I580" s="2">
        <v>3539.05</v>
      </c>
      <c r="J580" s="2" t="s">
        <v>63</v>
      </c>
      <c r="K580" s="2" t="s">
        <v>19</v>
      </c>
      <c r="L580" s="2" t="s">
        <v>47</v>
      </c>
      <c r="M580" s="2" t="s">
        <v>153</v>
      </c>
      <c r="N580" s="2" t="s">
        <v>1062</v>
      </c>
      <c r="O580" s="2" t="s">
        <v>1055</v>
      </c>
      <c r="P580" t="s">
        <v>1079</v>
      </c>
      <c r="Q580">
        <v>2024</v>
      </c>
    </row>
    <row r="581" spans="1:17" x14ac:dyDescent="0.25">
      <c r="A581" s="1" t="s">
        <v>783</v>
      </c>
      <c r="B581" s="3">
        <v>45668</v>
      </c>
      <c r="C581" s="1" t="s">
        <v>204</v>
      </c>
      <c r="D581" s="1" t="s">
        <v>24</v>
      </c>
      <c r="E581" s="1" t="s">
        <v>71</v>
      </c>
      <c r="F581" s="2">
        <v>147.01</v>
      </c>
      <c r="G581" s="2" t="s">
        <v>26</v>
      </c>
      <c r="H581" s="2">
        <v>16</v>
      </c>
      <c r="I581" s="2">
        <v>2352.12</v>
      </c>
      <c r="J581" s="2" t="s">
        <v>33</v>
      </c>
      <c r="K581" s="2" t="s">
        <v>19</v>
      </c>
      <c r="L581" s="2" t="s">
        <v>47</v>
      </c>
      <c r="M581" s="2" t="s">
        <v>85</v>
      </c>
      <c r="N581" s="2" t="s">
        <v>1050</v>
      </c>
      <c r="O581" s="2" t="s">
        <v>1063</v>
      </c>
      <c r="P581" t="s">
        <v>1079</v>
      </c>
      <c r="Q581">
        <v>2025</v>
      </c>
    </row>
    <row r="582" spans="1:17" x14ac:dyDescent="0.25">
      <c r="A582" s="1" t="s">
        <v>784</v>
      </c>
      <c r="B582" s="3">
        <v>45672</v>
      </c>
      <c r="C582" s="1" t="s">
        <v>95</v>
      </c>
      <c r="D582" s="1" t="s">
        <v>39</v>
      </c>
      <c r="E582" s="1" t="s">
        <v>45</v>
      </c>
      <c r="F582" s="2">
        <v>42.15</v>
      </c>
      <c r="G582" s="2" t="s">
        <v>72</v>
      </c>
      <c r="H582" s="2">
        <v>85</v>
      </c>
      <c r="I582" s="2">
        <v>3583</v>
      </c>
      <c r="J582" s="2" t="s">
        <v>18</v>
      </c>
      <c r="K582" s="2" t="s">
        <v>19</v>
      </c>
      <c r="L582" s="2" t="s">
        <v>20</v>
      </c>
      <c r="M582" s="2" t="s">
        <v>64</v>
      </c>
      <c r="N582" s="2" t="s">
        <v>1050</v>
      </c>
      <c r="O582" s="2" t="s">
        <v>1059</v>
      </c>
      <c r="P582" t="s">
        <v>1079</v>
      </c>
      <c r="Q582">
        <v>2025</v>
      </c>
    </row>
    <row r="583" spans="1:17" x14ac:dyDescent="0.25">
      <c r="A583" s="1" t="s">
        <v>785</v>
      </c>
      <c r="B583" s="3">
        <v>45958</v>
      </c>
      <c r="C583" s="1" t="s">
        <v>256</v>
      </c>
      <c r="D583" s="1" t="s">
        <v>31</v>
      </c>
      <c r="E583" s="1" t="s">
        <v>45</v>
      </c>
      <c r="F583" s="2">
        <v>285.43</v>
      </c>
      <c r="G583" s="2" t="s">
        <v>32</v>
      </c>
      <c r="H583" s="2">
        <v>9</v>
      </c>
      <c r="I583" s="2">
        <v>2568.88</v>
      </c>
      <c r="J583" s="2" t="s">
        <v>18</v>
      </c>
      <c r="K583" s="2" t="s">
        <v>34</v>
      </c>
      <c r="L583" s="2" t="s">
        <v>47</v>
      </c>
      <c r="M583" s="2" t="s">
        <v>153</v>
      </c>
      <c r="N583" s="2" t="s">
        <v>1046</v>
      </c>
      <c r="O583" s="2" t="s">
        <v>1053</v>
      </c>
      <c r="P583" t="s">
        <v>1079</v>
      </c>
      <c r="Q583">
        <v>2025</v>
      </c>
    </row>
    <row r="584" spans="1:17" hidden="1" x14ac:dyDescent="0.25">
      <c r="A584" s="1" t="s">
        <v>786</v>
      </c>
      <c r="B584" s="3">
        <v>45501</v>
      </c>
      <c r="C584" s="1" t="s">
        <v>787</v>
      </c>
      <c r="D584" s="1" t="s">
        <v>55</v>
      </c>
      <c r="E584" s="1" t="s">
        <v>67</v>
      </c>
      <c r="F584" s="2">
        <v>159.07</v>
      </c>
      <c r="G584" s="2" t="s">
        <v>79</v>
      </c>
      <c r="H584" s="2">
        <v>12</v>
      </c>
      <c r="I584" s="2">
        <v>1908.81</v>
      </c>
      <c r="J584" s="2" t="s">
        <v>18</v>
      </c>
      <c r="K584" s="2" t="s">
        <v>19</v>
      </c>
      <c r="L584" s="2" t="s">
        <v>20</v>
      </c>
      <c r="M584" s="2" t="s">
        <v>64</v>
      </c>
      <c r="N584" s="2" t="s">
        <v>1052</v>
      </c>
      <c r="O584" s="2" t="s">
        <v>1055</v>
      </c>
      <c r="P584" t="s">
        <v>1079</v>
      </c>
      <c r="Q584">
        <v>2024</v>
      </c>
    </row>
    <row r="585" spans="1:17" x14ac:dyDescent="0.25">
      <c r="A585" s="1" t="s">
        <v>788</v>
      </c>
      <c r="B585" s="3">
        <v>45751</v>
      </c>
      <c r="C585" s="1" t="s">
        <v>419</v>
      </c>
      <c r="D585" s="1" t="s">
        <v>55</v>
      </c>
      <c r="E585" s="1" t="s">
        <v>25</v>
      </c>
      <c r="F585" s="2">
        <v>2342.41</v>
      </c>
      <c r="G585" s="2" t="s">
        <v>56</v>
      </c>
      <c r="H585" s="2">
        <v>1</v>
      </c>
      <c r="I585" s="2">
        <v>2342.41</v>
      </c>
      <c r="J585" s="2" t="s">
        <v>63</v>
      </c>
      <c r="K585" s="2" t="s">
        <v>34</v>
      </c>
      <c r="L585" s="2" t="s">
        <v>47</v>
      </c>
      <c r="M585" s="2" t="s">
        <v>153</v>
      </c>
      <c r="N585" s="2" t="s">
        <v>1048</v>
      </c>
      <c r="O585" s="2" t="s">
        <v>1058</v>
      </c>
      <c r="P585" t="s">
        <v>1079</v>
      </c>
      <c r="Q585">
        <v>2025</v>
      </c>
    </row>
    <row r="586" spans="1:17" hidden="1" x14ac:dyDescent="0.25">
      <c r="A586" s="1" t="s">
        <v>789</v>
      </c>
      <c r="B586" s="3">
        <v>45439</v>
      </c>
      <c r="C586" s="1" t="s">
        <v>240</v>
      </c>
      <c r="D586" s="1" t="s">
        <v>55</v>
      </c>
      <c r="E586" s="1" t="s">
        <v>16</v>
      </c>
      <c r="F586" s="2">
        <v>1907</v>
      </c>
      <c r="G586" s="2" t="s">
        <v>79</v>
      </c>
      <c r="H586" s="2">
        <v>1</v>
      </c>
      <c r="I586" s="2">
        <v>1907</v>
      </c>
      <c r="J586" s="2" t="s">
        <v>18</v>
      </c>
      <c r="K586" s="2" t="s">
        <v>34</v>
      </c>
      <c r="L586" s="2" t="s">
        <v>41</v>
      </c>
      <c r="M586" s="2" t="s">
        <v>42</v>
      </c>
      <c r="N586" s="2" t="s">
        <v>1057</v>
      </c>
      <c r="O586" s="2" t="s">
        <v>1056</v>
      </c>
      <c r="P586" t="s">
        <v>1079</v>
      </c>
      <c r="Q586">
        <v>2024</v>
      </c>
    </row>
    <row r="587" spans="1:17" x14ac:dyDescent="0.25">
      <c r="A587" s="1" t="s">
        <v>790</v>
      </c>
      <c r="B587" s="3">
        <v>45708</v>
      </c>
      <c r="C587" s="1" t="s">
        <v>791</v>
      </c>
      <c r="D587" s="1" t="s">
        <v>39</v>
      </c>
      <c r="E587" s="1" t="s">
        <v>71</v>
      </c>
      <c r="F587" s="2">
        <v>92.45</v>
      </c>
      <c r="G587" s="2" t="s">
        <v>40</v>
      </c>
      <c r="H587" s="2">
        <v>20</v>
      </c>
      <c r="I587" s="2">
        <v>1849.02</v>
      </c>
      <c r="J587" s="2" t="s">
        <v>18</v>
      </c>
      <c r="K587" s="2" t="s">
        <v>19</v>
      </c>
      <c r="L587" s="2" t="s">
        <v>35</v>
      </c>
      <c r="M587" s="2" t="s">
        <v>52</v>
      </c>
      <c r="N587" s="2" t="s">
        <v>1060</v>
      </c>
      <c r="O587" s="2" t="s">
        <v>1047</v>
      </c>
      <c r="P587" t="s">
        <v>1079</v>
      </c>
      <c r="Q587">
        <v>2025</v>
      </c>
    </row>
    <row r="588" spans="1:17" x14ac:dyDescent="0.25">
      <c r="A588" s="1" t="s">
        <v>792</v>
      </c>
      <c r="B588" s="3">
        <v>45725</v>
      </c>
      <c r="C588" s="1" t="s">
        <v>173</v>
      </c>
      <c r="D588" s="1" t="s">
        <v>55</v>
      </c>
      <c r="E588" s="1" t="s">
        <v>71</v>
      </c>
      <c r="F588" s="2">
        <v>66.989999999999995</v>
      </c>
      <c r="G588" s="2" t="s">
        <v>90</v>
      </c>
      <c r="H588" s="2">
        <v>15</v>
      </c>
      <c r="I588" s="2">
        <v>1004.78</v>
      </c>
      <c r="J588" s="2" t="s">
        <v>63</v>
      </c>
      <c r="K588" s="2" t="s">
        <v>19</v>
      </c>
      <c r="L588" s="2" t="s">
        <v>20</v>
      </c>
      <c r="M588" s="2" t="s">
        <v>64</v>
      </c>
      <c r="N588" s="2" t="s">
        <v>1054</v>
      </c>
      <c r="O588" s="2" t="s">
        <v>1055</v>
      </c>
      <c r="P588" t="s">
        <v>1079</v>
      </c>
      <c r="Q588">
        <v>2025</v>
      </c>
    </row>
    <row r="589" spans="1:17" x14ac:dyDescent="0.25">
      <c r="A589" s="1" t="s">
        <v>793</v>
      </c>
      <c r="B589" s="3">
        <v>45788</v>
      </c>
      <c r="C589" s="1" t="s">
        <v>311</v>
      </c>
      <c r="D589" s="1" t="s">
        <v>24</v>
      </c>
      <c r="E589" s="1" t="s">
        <v>25</v>
      </c>
      <c r="F589" s="2">
        <v>122.67</v>
      </c>
      <c r="G589" s="2" t="s">
        <v>170</v>
      </c>
      <c r="H589" s="2">
        <v>19</v>
      </c>
      <c r="I589" s="2">
        <v>2330.73</v>
      </c>
      <c r="J589" s="2" t="s">
        <v>63</v>
      </c>
      <c r="K589" s="2" t="s">
        <v>19</v>
      </c>
      <c r="L589" s="2" t="s">
        <v>27</v>
      </c>
      <c r="M589" s="2" t="s">
        <v>59</v>
      </c>
      <c r="N589" s="2" t="s">
        <v>1057</v>
      </c>
      <c r="O589" s="2" t="s">
        <v>1055</v>
      </c>
      <c r="P589" t="s">
        <v>1079</v>
      </c>
      <c r="Q589">
        <v>2025</v>
      </c>
    </row>
    <row r="590" spans="1:17" hidden="1" x14ac:dyDescent="0.25">
      <c r="A590" s="1" t="s">
        <v>794</v>
      </c>
      <c r="B590" s="3">
        <v>45303</v>
      </c>
      <c r="C590" s="1" t="s">
        <v>175</v>
      </c>
      <c r="D590" s="1" t="s">
        <v>15</v>
      </c>
      <c r="E590" s="1" t="s">
        <v>45</v>
      </c>
      <c r="F590" s="2">
        <v>407.53</v>
      </c>
      <c r="G590" s="2" t="s">
        <v>82</v>
      </c>
      <c r="H590" s="2">
        <v>8</v>
      </c>
      <c r="I590" s="2">
        <v>3260.23</v>
      </c>
      <c r="J590" s="2" t="s">
        <v>18</v>
      </c>
      <c r="K590" s="2" t="s">
        <v>19</v>
      </c>
      <c r="L590" s="2" t="s">
        <v>20</v>
      </c>
      <c r="M590" s="2" t="s">
        <v>88</v>
      </c>
      <c r="N590" s="2" t="s">
        <v>1050</v>
      </c>
      <c r="O590" s="2" t="s">
        <v>1058</v>
      </c>
      <c r="P590" t="s">
        <v>1079</v>
      </c>
      <c r="Q590">
        <v>2024</v>
      </c>
    </row>
    <row r="591" spans="1:17" hidden="1" x14ac:dyDescent="0.25">
      <c r="A591" s="1" t="s">
        <v>795</v>
      </c>
      <c r="B591" s="3">
        <v>45565</v>
      </c>
      <c r="C591" s="1" t="s">
        <v>84</v>
      </c>
      <c r="D591" s="1" t="s">
        <v>31</v>
      </c>
      <c r="E591" s="1" t="s">
        <v>67</v>
      </c>
      <c r="F591" s="2">
        <v>210.78</v>
      </c>
      <c r="G591" s="2" t="s">
        <v>98</v>
      </c>
      <c r="H591" s="2">
        <v>7</v>
      </c>
      <c r="I591" s="2">
        <v>1475.45</v>
      </c>
      <c r="J591" s="2" t="s">
        <v>18</v>
      </c>
      <c r="K591" s="2" t="s">
        <v>34</v>
      </c>
      <c r="L591" s="2" t="s">
        <v>20</v>
      </c>
      <c r="M591" s="2" t="s">
        <v>64</v>
      </c>
      <c r="N591" s="2" t="s">
        <v>1049</v>
      </c>
      <c r="O591" s="2" t="s">
        <v>1056</v>
      </c>
      <c r="P591" t="s">
        <v>1079</v>
      </c>
      <c r="Q591">
        <v>2024</v>
      </c>
    </row>
    <row r="592" spans="1:17" hidden="1" x14ac:dyDescent="0.25">
      <c r="A592" s="1" t="s">
        <v>796</v>
      </c>
      <c r="B592" s="3">
        <v>45579</v>
      </c>
      <c r="C592" s="1" t="s">
        <v>70</v>
      </c>
      <c r="D592" s="1" t="s">
        <v>55</v>
      </c>
      <c r="E592" s="1" t="s">
        <v>25</v>
      </c>
      <c r="F592" s="2">
        <v>87.24</v>
      </c>
      <c r="G592" s="2" t="s">
        <v>56</v>
      </c>
      <c r="H592" s="2">
        <v>14</v>
      </c>
      <c r="I592" s="2">
        <v>1221.3599999999999</v>
      </c>
      <c r="J592" s="2" t="s">
        <v>18</v>
      </c>
      <c r="K592" s="2" t="s">
        <v>19</v>
      </c>
      <c r="L592" s="2" t="s">
        <v>47</v>
      </c>
      <c r="M592" s="2" t="s">
        <v>48</v>
      </c>
      <c r="N592" s="2" t="s">
        <v>1046</v>
      </c>
      <c r="O592" s="2" t="s">
        <v>1056</v>
      </c>
      <c r="P592" t="s">
        <v>1079</v>
      </c>
      <c r="Q592">
        <v>2024</v>
      </c>
    </row>
    <row r="593" spans="1:17" hidden="1" x14ac:dyDescent="0.25">
      <c r="A593" s="1" t="s">
        <v>797</v>
      </c>
      <c r="B593" s="3">
        <v>45557</v>
      </c>
      <c r="C593" s="1" t="s">
        <v>100</v>
      </c>
      <c r="D593" s="1" t="s">
        <v>24</v>
      </c>
      <c r="E593" s="1" t="s">
        <v>45</v>
      </c>
      <c r="F593" s="2">
        <v>80.87</v>
      </c>
      <c r="G593" s="2" t="s">
        <v>68</v>
      </c>
      <c r="H593" s="2">
        <v>11</v>
      </c>
      <c r="I593" s="2">
        <v>889.56</v>
      </c>
      <c r="J593" s="2" t="s">
        <v>33</v>
      </c>
      <c r="K593" s="2" t="s">
        <v>19</v>
      </c>
      <c r="L593" s="2" t="s">
        <v>47</v>
      </c>
      <c r="M593" s="2" t="s">
        <v>48</v>
      </c>
      <c r="N593" s="2" t="s">
        <v>1049</v>
      </c>
      <c r="O593" s="2" t="s">
        <v>1055</v>
      </c>
      <c r="P593" t="s">
        <v>1079</v>
      </c>
      <c r="Q593">
        <v>2024</v>
      </c>
    </row>
    <row r="594" spans="1:17" x14ac:dyDescent="0.25">
      <c r="A594" s="1" t="s">
        <v>798</v>
      </c>
      <c r="B594" s="3">
        <v>45743</v>
      </c>
      <c r="C594" s="1" t="s">
        <v>439</v>
      </c>
      <c r="D594" s="1" t="s">
        <v>55</v>
      </c>
      <c r="E594" s="1" t="s">
        <v>16</v>
      </c>
      <c r="F594" s="2">
        <v>719.24</v>
      </c>
      <c r="G594" s="2" t="s">
        <v>79</v>
      </c>
      <c r="H594" s="2">
        <v>3</v>
      </c>
      <c r="I594" s="2">
        <v>2157.73</v>
      </c>
      <c r="J594" s="2" t="s">
        <v>18</v>
      </c>
      <c r="K594" s="2" t="s">
        <v>34</v>
      </c>
      <c r="L594" s="2" t="s">
        <v>27</v>
      </c>
      <c r="M594" s="2" t="s">
        <v>161</v>
      </c>
      <c r="N594" s="2" t="s">
        <v>1054</v>
      </c>
      <c r="O594" s="2" t="s">
        <v>1047</v>
      </c>
      <c r="P594" t="s">
        <v>1079</v>
      </c>
      <c r="Q594">
        <v>2025</v>
      </c>
    </row>
    <row r="595" spans="1:17" x14ac:dyDescent="0.25">
      <c r="A595" s="1" t="s">
        <v>799</v>
      </c>
      <c r="B595" s="3">
        <v>45760</v>
      </c>
      <c r="C595" s="1" t="s">
        <v>543</v>
      </c>
      <c r="D595" s="1" t="s">
        <v>39</v>
      </c>
      <c r="E595" s="1" t="s">
        <v>71</v>
      </c>
      <c r="F595" s="2">
        <v>166.94</v>
      </c>
      <c r="G595" s="2" t="s">
        <v>72</v>
      </c>
      <c r="H595" s="2">
        <v>9</v>
      </c>
      <c r="I595" s="2">
        <v>1502.5</v>
      </c>
      <c r="J595" s="2" t="s">
        <v>18</v>
      </c>
      <c r="K595" s="2" t="s">
        <v>34</v>
      </c>
      <c r="L595" s="2" t="s">
        <v>41</v>
      </c>
      <c r="M595" s="2" t="s">
        <v>76</v>
      </c>
      <c r="N595" s="2" t="s">
        <v>1048</v>
      </c>
      <c r="O595" s="2" t="s">
        <v>1055</v>
      </c>
      <c r="P595" t="s">
        <v>1079</v>
      </c>
      <c r="Q595">
        <v>2025</v>
      </c>
    </row>
    <row r="596" spans="1:17" hidden="1" x14ac:dyDescent="0.25">
      <c r="A596" s="1" t="s">
        <v>800</v>
      </c>
      <c r="B596" s="3">
        <v>45312</v>
      </c>
      <c r="C596" s="1" t="s">
        <v>302</v>
      </c>
      <c r="D596" s="1" t="s">
        <v>31</v>
      </c>
      <c r="E596" s="1" t="s">
        <v>25</v>
      </c>
      <c r="F596" s="2">
        <v>95.5</v>
      </c>
      <c r="G596" s="2" t="s">
        <v>31</v>
      </c>
      <c r="H596" s="2">
        <v>14</v>
      </c>
      <c r="I596" s="2">
        <v>1337.03</v>
      </c>
      <c r="J596" s="2" t="s">
        <v>18</v>
      </c>
      <c r="K596" s="2" t="s">
        <v>19</v>
      </c>
      <c r="L596" s="2" t="s">
        <v>27</v>
      </c>
      <c r="M596" s="2" t="s">
        <v>59</v>
      </c>
      <c r="N596" s="2" t="s">
        <v>1050</v>
      </c>
      <c r="O596" s="2" t="s">
        <v>1055</v>
      </c>
      <c r="P596" t="s">
        <v>1079</v>
      </c>
      <c r="Q596">
        <v>2024</v>
      </c>
    </row>
    <row r="597" spans="1:17" hidden="1" x14ac:dyDescent="0.25">
      <c r="A597" s="1" t="s">
        <v>801</v>
      </c>
      <c r="B597" s="3">
        <v>45583</v>
      </c>
      <c r="C597" s="1" t="s">
        <v>266</v>
      </c>
      <c r="D597" s="1" t="s">
        <v>31</v>
      </c>
      <c r="E597" s="1" t="s">
        <v>25</v>
      </c>
      <c r="F597" s="2">
        <v>748.36</v>
      </c>
      <c r="G597" s="2" t="s">
        <v>32</v>
      </c>
      <c r="H597" s="2">
        <v>1</v>
      </c>
      <c r="I597" s="2">
        <v>748.36</v>
      </c>
      <c r="J597" s="2" t="s">
        <v>33</v>
      </c>
      <c r="K597" s="2" t="s">
        <v>34</v>
      </c>
      <c r="L597" s="2" t="s">
        <v>20</v>
      </c>
      <c r="M597" s="2" t="s">
        <v>88</v>
      </c>
      <c r="N597" s="2" t="s">
        <v>1046</v>
      </c>
      <c r="O597" s="2" t="s">
        <v>1058</v>
      </c>
      <c r="P597" t="s">
        <v>1079</v>
      </c>
      <c r="Q597">
        <v>2024</v>
      </c>
    </row>
    <row r="598" spans="1:17" hidden="1" x14ac:dyDescent="0.25">
      <c r="A598" s="1" t="s">
        <v>802</v>
      </c>
      <c r="B598" s="3">
        <v>45508</v>
      </c>
      <c r="C598" s="1" t="s">
        <v>116</v>
      </c>
      <c r="D598" s="1" t="s">
        <v>24</v>
      </c>
      <c r="E598" s="1" t="s">
        <v>71</v>
      </c>
      <c r="F598" s="2">
        <v>139.08000000000001</v>
      </c>
      <c r="G598" s="2" t="s">
        <v>170</v>
      </c>
      <c r="H598" s="2">
        <v>12</v>
      </c>
      <c r="I598" s="2">
        <v>1669</v>
      </c>
      <c r="J598" s="2" t="s">
        <v>18</v>
      </c>
      <c r="K598" s="2" t="s">
        <v>19</v>
      </c>
      <c r="L598" s="2" t="s">
        <v>20</v>
      </c>
      <c r="M598" s="2" t="s">
        <v>64</v>
      </c>
      <c r="N598" s="2" t="s">
        <v>1051</v>
      </c>
      <c r="O598" s="2" t="s">
        <v>1055</v>
      </c>
      <c r="P598" t="s">
        <v>1079</v>
      </c>
      <c r="Q598">
        <v>2024</v>
      </c>
    </row>
    <row r="599" spans="1:17" x14ac:dyDescent="0.25">
      <c r="A599" s="1" t="s">
        <v>803</v>
      </c>
      <c r="B599" s="3">
        <v>45762</v>
      </c>
      <c r="C599" s="1" t="s">
        <v>112</v>
      </c>
      <c r="D599" s="1" t="s">
        <v>24</v>
      </c>
      <c r="E599" s="1" t="s">
        <v>45</v>
      </c>
      <c r="F599" s="2">
        <v>122.8</v>
      </c>
      <c r="G599" s="2" t="s">
        <v>170</v>
      </c>
      <c r="H599" s="2">
        <v>12</v>
      </c>
      <c r="I599" s="2">
        <v>1473.6</v>
      </c>
      <c r="J599" s="2" t="s">
        <v>63</v>
      </c>
      <c r="K599" s="2" t="s">
        <v>19</v>
      </c>
      <c r="L599" s="2" t="s">
        <v>41</v>
      </c>
      <c r="M599" s="2" t="s">
        <v>76</v>
      </c>
      <c r="N599" s="2" t="s">
        <v>1048</v>
      </c>
      <c r="O599" s="2" t="s">
        <v>1053</v>
      </c>
      <c r="P599" t="s">
        <v>1079</v>
      </c>
      <c r="Q599">
        <v>2025</v>
      </c>
    </row>
    <row r="600" spans="1:17" x14ac:dyDescent="0.25">
      <c r="A600" s="1" t="s">
        <v>804</v>
      </c>
      <c r="B600" s="3">
        <v>45674</v>
      </c>
      <c r="C600" s="1" t="s">
        <v>407</v>
      </c>
      <c r="D600" s="1" t="s">
        <v>31</v>
      </c>
      <c r="E600" s="1" t="s">
        <v>45</v>
      </c>
      <c r="F600" s="2">
        <v>74.2</v>
      </c>
      <c r="G600" s="2" t="s">
        <v>32</v>
      </c>
      <c r="H600" s="2">
        <v>16</v>
      </c>
      <c r="I600" s="2">
        <v>13174.279999999999</v>
      </c>
      <c r="J600" s="2" t="s">
        <v>18</v>
      </c>
      <c r="K600" s="2" t="s">
        <v>19</v>
      </c>
      <c r="L600" s="2" t="s">
        <v>41</v>
      </c>
      <c r="M600" s="2" t="s">
        <v>141</v>
      </c>
      <c r="N600" s="2" t="s">
        <v>1050</v>
      </c>
      <c r="O600" s="2" t="s">
        <v>1058</v>
      </c>
      <c r="P600" t="s">
        <v>1078</v>
      </c>
      <c r="Q600">
        <v>2025</v>
      </c>
    </row>
    <row r="601" spans="1:17" hidden="1" x14ac:dyDescent="0.25">
      <c r="A601" s="1" t="s">
        <v>805</v>
      </c>
      <c r="B601" s="3">
        <v>45523</v>
      </c>
      <c r="C601" s="1" t="s">
        <v>188</v>
      </c>
      <c r="D601" s="1" t="s">
        <v>39</v>
      </c>
      <c r="E601" s="1" t="s">
        <v>71</v>
      </c>
      <c r="F601" s="2">
        <v>551.79999999999995</v>
      </c>
      <c r="G601" s="2" t="s">
        <v>72</v>
      </c>
      <c r="H601" s="2">
        <v>7</v>
      </c>
      <c r="I601" s="2">
        <v>3862.63</v>
      </c>
      <c r="J601" s="2" t="s">
        <v>18</v>
      </c>
      <c r="K601" s="2" t="s">
        <v>19</v>
      </c>
      <c r="L601" s="2" t="s">
        <v>41</v>
      </c>
      <c r="M601" s="2" t="s">
        <v>42</v>
      </c>
      <c r="N601" s="2" t="s">
        <v>1051</v>
      </c>
      <c r="O601" s="2" t="s">
        <v>1056</v>
      </c>
      <c r="P601" t="s">
        <v>1079</v>
      </c>
      <c r="Q601">
        <v>2024</v>
      </c>
    </row>
    <row r="602" spans="1:17" hidden="1" x14ac:dyDescent="0.25">
      <c r="A602" s="1" t="s">
        <v>806</v>
      </c>
      <c r="B602" s="3">
        <v>45646</v>
      </c>
      <c r="C602" s="1" t="s">
        <v>125</v>
      </c>
      <c r="D602" s="1" t="s">
        <v>31</v>
      </c>
      <c r="E602" s="1" t="s">
        <v>71</v>
      </c>
      <c r="F602" s="2">
        <v>204.04</v>
      </c>
      <c r="G602" s="2" t="s">
        <v>98</v>
      </c>
      <c r="H602" s="2">
        <v>8</v>
      </c>
      <c r="I602" s="2">
        <v>1632.32</v>
      </c>
      <c r="J602" s="2" t="s">
        <v>63</v>
      </c>
      <c r="K602" s="2" t="s">
        <v>34</v>
      </c>
      <c r="L602" s="2" t="s">
        <v>35</v>
      </c>
      <c r="M602" s="2" t="s">
        <v>36</v>
      </c>
      <c r="N602" s="2" t="s">
        <v>1061</v>
      </c>
      <c r="O602" s="2" t="s">
        <v>1058</v>
      </c>
      <c r="P602" t="s">
        <v>1079</v>
      </c>
      <c r="Q602">
        <v>2024</v>
      </c>
    </row>
    <row r="603" spans="1:17" x14ac:dyDescent="0.25">
      <c r="A603" s="1" t="s">
        <v>807</v>
      </c>
      <c r="B603" s="3">
        <v>45958</v>
      </c>
      <c r="C603" s="1" t="s">
        <v>808</v>
      </c>
      <c r="D603" s="1" t="s">
        <v>55</v>
      </c>
      <c r="E603" s="1" t="s">
        <v>67</v>
      </c>
      <c r="F603" s="2">
        <v>46.05</v>
      </c>
      <c r="G603" s="2" t="s">
        <v>148</v>
      </c>
      <c r="H603" s="2">
        <v>13</v>
      </c>
      <c r="I603" s="2">
        <v>598.62</v>
      </c>
      <c r="J603" s="2" t="s">
        <v>63</v>
      </c>
      <c r="K603" s="2" t="s">
        <v>19</v>
      </c>
      <c r="L603" s="2" t="s">
        <v>27</v>
      </c>
      <c r="M603" s="2" t="s">
        <v>28</v>
      </c>
      <c r="N603" s="2" t="s">
        <v>1046</v>
      </c>
      <c r="O603" s="2" t="s">
        <v>1053</v>
      </c>
      <c r="P603" t="s">
        <v>1079</v>
      </c>
      <c r="Q603">
        <v>2025</v>
      </c>
    </row>
    <row r="604" spans="1:17" x14ac:dyDescent="0.25">
      <c r="A604" s="1" t="s">
        <v>809</v>
      </c>
      <c r="B604" s="3">
        <v>45683</v>
      </c>
      <c r="C604" s="1" t="s">
        <v>810</v>
      </c>
      <c r="D604" s="1" t="s">
        <v>55</v>
      </c>
      <c r="E604" s="1" t="s">
        <v>16</v>
      </c>
      <c r="F604" s="2">
        <v>175.74</v>
      </c>
      <c r="G604" s="2" t="s">
        <v>79</v>
      </c>
      <c r="H604" s="2">
        <v>11</v>
      </c>
      <c r="I604" s="2">
        <v>1933.13</v>
      </c>
      <c r="J604" s="2" t="s">
        <v>18</v>
      </c>
      <c r="K604" s="2" t="s">
        <v>19</v>
      </c>
      <c r="L604" s="2" t="s">
        <v>27</v>
      </c>
      <c r="M604" s="2" t="s">
        <v>59</v>
      </c>
      <c r="N604" s="2" t="s">
        <v>1050</v>
      </c>
      <c r="O604" s="2" t="s">
        <v>1055</v>
      </c>
      <c r="P604" t="s">
        <v>1079</v>
      </c>
      <c r="Q604">
        <v>2025</v>
      </c>
    </row>
    <row r="605" spans="1:17" hidden="1" x14ac:dyDescent="0.25">
      <c r="A605" s="1" t="s">
        <v>811</v>
      </c>
      <c r="B605" s="3">
        <v>45359</v>
      </c>
      <c r="C605" s="1" t="s">
        <v>290</v>
      </c>
      <c r="D605" s="1" t="s">
        <v>55</v>
      </c>
      <c r="E605" s="1" t="s">
        <v>67</v>
      </c>
      <c r="F605" s="2">
        <v>138.31</v>
      </c>
      <c r="G605" s="2" t="s">
        <v>90</v>
      </c>
      <c r="H605" s="2">
        <v>12</v>
      </c>
      <c r="I605" s="2">
        <v>1659.66</v>
      </c>
      <c r="J605" s="2" t="s">
        <v>18</v>
      </c>
      <c r="K605" s="2" t="s">
        <v>19</v>
      </c>
      <c r="L605" s="2" t="s">
        <v>41</v>
      </c>
      <c r="M605" s="2" t="s">
        <v>141</v>
      </c>
      <c r="N605" s="2" t="s">
        <v>1054</v>
      </c>
      <c r="O605" s="2" t="s">
        <v>1058</v>
      </c>
      <c r="P605" t="s">
        <v>1079</v>
      </c>
      <c r="Q605">
        <v>2024</v>
      </c>
    </row>
    <row r="606" spans="1:17" hidden="1" x14ac:dyDescent="0.25">
      <c r="A606" s="1" t="s">
        <v>812</v>
      </c>
      <c r="B606" s="3">
        <v>45630</v>
      </c>
      <c r="C606" s="1" t="s">
        <v>254</v>
      </c>
      <c r="D606" s="1" t="s">
        <v>15</v>
      </c>
      <c r="E606" s="1" t="s">
        <v>71</v>
      </c>
      <c r="F606" s="2">
        <v>12.05</v>
      </c>
      <c r="G606" s="2" t="s">
        <v>62</v>
      </c>
      <c r="H606" s="2">
        <v>126</v>
      </c>
      <c r="I606" s="2">
        <v>1518.91</v>
      </c>
      <c r="J606" s="2" t="s">
        <v>63</v>
      </c>
      <c r="K606" s="2" t="s">
        <v>19</v>
      </c>
      <c r="L606" s="2" t="s">
        <v>47</v>
      </c>
      <c r="M606" s="2" t="s">
        <v>85</v>
      </c>
      <c r="N606" s="2" t="s">
        <v>1061</v>
      </c>
      <c r="O606" s="2" t="s">
        <v>1059</v>
      </c>
      <c r="P606" t="s">
        <v>1079</v>
      </c>
      <c r="Q606">
        <v>2024</v>
      </c>
    </row>
    <row r="607" spans="1:17" x14ac:dyDescent="0.25">
      <c r="A607" s="1" t="s">
        <v>813</v>
      </c>
      <c r="B607" s="3">
        <v>45836</v>
      </c>
      <c r="C607" s="1" t="s">
        <v>30</v>
      </c>
      <c r="D607" s="1" t="s">
        <v>55</v>
      </c>
      <c r="E607" s="1" t="s">
        <v>71</v>
      </c>
      <c r="F607" s="2">
        <v>130.80000000000001</v>
      </c>
      <c r="G607" s="2" t="s">
        <v>56</v>
      </c>
      <c r="H607" s="2">
        <v>18</v>
      </c>
      <c r="I607" s="2">
        <v>2354.4499999999998</v>
      </c>
      <c r="J607" s="2" t="s">
        <v>18</v>
      </c>
      <c r="K607" s="2" t="s">
        <v>19</v>
      </c>
      <c r="L607" s="2" t="s">
        <v>20</v>
      </c>
      <c r="M607" s="2" t="s">
        <v>21</v>
      </c>
      <c r="N607" s="2" t="s">
        <v>1062</v>
      </c>
      <c r="O607" s="2" t="s">
        <v>1063</v>
      </c>
      <c r="P607" t="s">
        <v>1079</v>
      </c>
      <c r="Q607">
        <v>2025</v>
      </c>
    </row>
    <row r="608" spans="1:17" hidden="1" x14ac:dyDescent="0.25">
      <c r="A608" s="1" t="s">
        <v>814</v>
      </c>
      <c r="B608" s="3">
        <v>45441</v>
      </c>
      <c r="C608" s="1" t="s">
        <v>462</v>
      </c>
      <c r="D608" s="1" t="s">
        <v>15</v>
      </c>
      <c r="E608" s="1" t="s">
        <v>71</v>
      </c>
      <c r="F608" s="2">
        <v>2313.7199999999998</v>
      </c>
      <c r="G608" s="2" t="s">
        <v>62</v>
      </c>
      <c r="H608" s="2">
        <v>1</v>
      </c>
      <c r="I608" s="2">
        <v>2313.7199999999998</v>
      </c>
      <c r="J608" s="2" t="s">
        <v>63</v>
      </c>
      <c r="K608" s="2" t="s">
        <v>34</v>
      </c>
      <c r="L608" s="2" t="s">
        <v>20</v>
      </c>
      <c r="M608" s="2" t="s">
        <v>88</v>
      </c>
      <c r="N608" s="2" t="s">
        <v>1057</v>
      </c>
      <c r="O608" s="2" t="s">
        <v>1059</v>
      </c>
      <c r="P608" t="s">
        <v>1079</v>
      </c>
      <c r="Q608">
        <v>2024</v>
      </c>
    </row>
    <row r="609" spans="1:17" x14ac:dyDescent="0.25">
      <c r="A609" s="1" t="s">
        <v>815</v>
      </c>
      <c r="B609" s="3">
        <v>45668</v>
      </c>
      <c r="C609" s="1" t="s">
        <v>50</v>
      </c>
      <c r="D609" s="1" t="s">
        <v>24</v>
      </c>
      <c r="E609" s="1" t="s">
        <v>67</v>
      </c>
      <c r="F609" s="2">
        <v>175.03</v>
      </c>
      <c r="G609" s="2" t="s">
        <v>68</v>
      </c>
      <c r="H609" s="2">
        <v>17</v>
      </c>
      <c r="I609" s="2">
        <v>2975.5</v>
      </c>
      <c r="J609" s="2" t="s">
        <v>18</v>
      </c>
      <c r="K609" s="2" t="s">
        <v>19</v>
      </c>
      <c r="L609" s="2" t="s">
        <v>20</v>
      </c>
      <c r="M609" s="2" t="s">
        <v>64</v>
      </c>
      <c r="N609" s="2" t="s">
        <v>1050</v>
      </c>
      <c r="O609" s="2" t="s">
        <v>1063</v>
      </c>
      <c r="P609" t="s">
        <v>1079</v>
      </c>
      <c r="Q609">
        <v>2025</v>
      </c>
    </row>
    <row r="610" spans="1:17" hidden="1" x14ac:dyDescent="0.25">
      <c r="A610" s="1" t="s">
        <v>816</v>
      </c>
      <c r="B610" s="3">
        <v>45469</v>
      </c>
      <c r="C610" s="1" t="s">
        <v>50</v>
      </c>
      <c r="D610" s="1" t="s">
        <v>31</v>
      </c>
      <c r="E610" s="1" t="s">
        <v>25</v>
      </c>
      <c r="F610" s="2">
        <v>67.09</v>
      </c>
      <c r="G610" s="2" t="s">
        <v>31</v>
      </c>
      <c r="H610" s="2">
        <v>16</v>
      </c>
      <c r="I610" s="2">
        <v>1073.46</v>
      </c>
      <c r="J610" s="2" t="s">
        <v>33</v>
      </c>
      <c r="K610" s="2" t="s">
        <v>19</v>
      </c>
      <c r="L610" s="2" t="s">
        <v>35</v>
      </c>
      <c r="M610" s="2" t="s">
        <v>52</v>
      </c>
      <c r="N610" s="2" t="s">
        <v>1062</v>
      </c>
      <c r="O610" s="2" t="s">
        <v>1059</v>
      </c>
      <c r="P610" t="s">
        <v>1079</v>
      </c>
      <c r="Q610">
        <v>2024</v>
      </c>
    </row>
    <row r="611" spans="1:17" x14ac:dyDescent="0.25">
      <c r="A611" s="1" t="s">
        <v>817</v>
      </c>
      <c r="B611" s="3">
        <v>45853</v>
      </c>
      <c r="C611" s="1" t="s">
        <v>235</v>
      </c>
      <c r="D611" s="1" t="s">
        <v>55</v>
      </c>
      <c r="E611" s="1" t="s">
        <v>71</v>
      </c>
      <c r="F611" s="2">
        <v>128.36000000000001</v>
      </c>
      <c r="G611" s="2" t="s">
        <v>148</v>
      </c>
      <c r="H611" s="2">
        <v>10</v>
      </c>
      <c r="I611" s="2">
        <v>1283.5999999999999</v>
      </c>
      <c r="J611" s="2" t="s">
        <v>18</v>
      </c>
      <c r="K611" s="2" t="s">
        <v>34</v>
      </c>
      <c r="L611" s="2" t="s">
        <v>47</v>
      </c>
      <c r="M611" s="2" t="s">
        <v>48</v>
      </c>
      <c r="N611" s="2" t="s">
        <v>1052</v>
      </c>
      <c r="O611" s="2" t="s">
        <v>1053</v>
      </c>
      <c r="P611" t="s">
        <v>1079</v>
      </c>
      <c r="Q611">
        <v>2025</v>
      </c>
    </row>
    <row r="612" spans="1:17" hidden="1" x14ac:dyDescent="0.25">
      <c r="A612" s="1" t="s">
        <v>818</v>
      </c>
      <c r="B612" s="3">
        <v>45645</v>
      </c>
      <c r="C612" s="1" t="s">
        <v>95</v>
      </c>
      <c r="D612" s="1" t="s">
        <v>39</v>
      </c>
      <c r="E612" s="1" t="s">
        <v>16</v>
      </c>
      <c r="F612" s="2">
        <v>20.21</v>
      </c>
      <c r="G612" s="2" t="s">
        <v>136</v>
      </c>
      <c r="H612" s="2">
        <v>84</v>
      </c>
      <c r="I612" s="2">
        <v>1698</v>
      </c>
      <c r="J612" s="2" t="s">
        <v>63</v>
      </c>
      <c r="K612" s="2" t="s">
        <v>19</v>
      </c>
      <c r="L612" s="2" t="s">
        <v>47</v>
      </c>
      <c r="M612" s="2" t="s">
        <v>48</v>
      </c>
      <c r="N612" s="2" t="s">
        <v>1061</v>
      </c>
      <c r="O612" s="2" t="s">
        <v>1047</v>
      </c>
      <c r="P612" t="s">
        <v>1079</v>
      </c>
      <c r="Q612">
        <v>2024</v>
      </c>
    </row>
    <row r="613" spans="1:17" hidden="1" x14ac:dyDescent="0.25">
      <c r="A613" s="1" t="s">
        <v>819</v>
      </c>
      <c r="B613" s="3">
        <v>45334</v>
      </c>
      <c r="C613" s="1" t="s">
        <v>173</v>
      </c>
      <c r="D613" s="1" t="s">
        <v>39</v>
      </c>
      <c r="E613" s="1" t="s">
        <v>45</v>
      </c>
      <c r="F613" s="2">
        <v>44.45</v>
      </c>
      <c r="G613" s="2" t="s">
        <v>136</v>
      </c>
      <c r="H613" s="2">
        <v>11</v>
      </c>
      <c r="I613" s="2">
        <v>489</v>
      </c>
      <c r="J613" s="2" t="s">
        <v>18</v>
      </c>
      <c r="K613" s="2" t="s">
        <v>19</v>
      </c>
      <c r="L613" s="2" t="s">
        <v>20</v>
      </c>
      <c r="M613" s="2" t="s">
        <v>88</v>
      </c>
      <c r="N613" s="2" t="s">
        <v>1060</v>
      </c>
      <c r="O613" s="2" t="s">
        <v>1056</v>
      </c>
      <c r="P613" t="s">
        <v>1079</v>
      </c>
      <c r="Q613">
        <v>2024</v>
      </c>
    </row>
    <row r="614" spans="1:17" hidden="1" x14ac:dyDescent="0.25">
      <c r="A614" s="1" t="s">
        <v>820</v>
      </c>
      <c r="B614" s="3">
        <v>45353</v>
      </c>
      <c r="C614" s="1" t="s">
        <v>158</v>
      </c>
      <c r="D614" s="1" t="s">
        <v>39</v>
      </c>
      <c r="E614" s="1" t="s">
        <v>16</v>
      </c>
      <c r="F614" s="2">
        <v>72.56</v>
      </c>
      <c r="G614" s="2" t="s">
        <v>40</v>
      </c>
      <c r="H614" s="2">
        <v>14</v>
      </c>
      <c r="I614" s="2">
        <v>1015.84</v>
      </c>
      <c r="J614" s="2" t="s">
        <v>18</v>
      </c>
      <c r="K614" s="2" t="s">
        <v>19</v>
      </c>
      <c r="L614" s="2" t="s">
        <v>27</v>
      </c>
      <c r="M614" s="2" t="s">
        <v>161</v>
      </c>
      <c r="N614" s="2" t="s">
        <v>1054</v>
      </c>
      <c r="O614" s="2" t="s">
        <v>1063</v>
      </c>
      <c r="P614" t="s">
        <v>1079</v>
      </c>
      <c r="Q614">
        <v>2024</v>
      </c>
    </row>
    <row r="615" spans="1:17" hidden="1" x14ac:dyDescent="0.25">
      <c r="A615" s="1" t="s">
        <v>821</v>
      </c>
      <c r="B615" s="3">
        <v>45521</v>
      </c>
      <c r="C615" s="1" t="s">
        <v>61</v>
      </c>
      <c r="D615" s="1" t="s">
        <v>15</v>
      </c>
      <c r="E615" s="1" t="s">
        <v>16</v>
      </c>
      <c r="F615" s="2">
        <v>81.56</v>
      </c>
      <c r="G615" s="2" t="s">
        <v>62</v>
      </c>
      <c r="H615" s="2">
        <v>16</v>
      </c>
      <c r="I615" s="2">
        <v>1304.97</v>
      </c>
      <c r="J615" s="2" t="s">
        <v>18</v>
      </c>
      <c r="K615" s="2" t="s">
        <v>19</v>
      </c>
      <c r="L615" s="2" t="s">
        <v>20</v>
      </c>
      <c r="M615" s="2" t="s">
        <v>88</v>
      </c>
      <c r="N615" s="2" t="s">
        <v>1051</v>
      </c>
      <c r="O615" s="2" t="s">
        <v>1063</v>
      </c>
      <c r="P615" t="s">
        <v>1079</v>
      </c>
      <c r="Q615">
        <v>2024</v>
      </c>
    </row>
    <row r="616" spans="1:17" hidden="1" x14ac:dyDescent="0.25">
      <c r="A616" s="1" t="s">
        <v>822</v>
      </c>
      <c r="B616" s="3">
        <v>45599</v>
      </c>
      <c r="C616" s="1" t="s">
        <v>95</v>
      </c>
      <c r="D616" s="1" t="s">
        <v>31</v>
      </c>
      <c r="E616" s="1" t="s">
        <v>16</v>
      </c>
      <c r="F616" s="2">
        <v>174.63</v>
      </c>
      <c r="G616" s="2" t="s">
        <v>32</v>
      </c>
      <c r="H616" s="2">
        <v>10</v>
      </c>
      <c r="I616" s="2">
        <v>1746.32</v>
      </c>
      <c r="J616" s="2" t="s">
        <v>18</v>
      </c>
      <c r="K616" s="2" t="s">
        <v>34</v>
      </c>
      <c r="L616" s="2" t="s">
        <v>35</v>
      </c>
      <c r="M616" s="2" t="s">
        <v>52</v>
      </c>
      <c r="N616" s="2" t="s">
        <v>1064</v>
      </c>
      <c r="O616" s="2" t="s">
        <v>1055</v>
      </c>
      <c r="P616" t="s">
        <v>1079</v>
      </c>
      <c r="Q616">
        <v>2024</v>
      </c>
    </row>
    <row r="617" spans="1:17" hidden="1" x14ac:dyDescent="0.25">
      <c r="A617" s="1" t="s">
        <v>823</v>
      </c>
      <c r="B617" s="3">
        <v>45373</v>
      </c>
      <c r="C617" s="1" t="s">
        <v>58</v>
      </c>
      <c r="D617" s="1" t="s">
        <v>15</v>
      </c>
      <c r="E617" s="1" t="s">
        <v>71</v>
      </c>
      <c r="F617" s="2">
        <v>116.91</v>
      </c>
      <c r="G617" s="2" t="s">
        <v>17</v>
      </c>
      <c r="H617" s="2">
        <v>13</v>
      </c>
      <c r="I617" s="2">
        <v>1519.81</v>
      </c>
      <c r="J617" s="2" t="s">
        <v>18</v>
      </c>
      <c r="K617" s="2" t="s">
        <v>19</v>
      </c>
      <c r="L617" s="2" t="s">
        <v>20</v>
      </c>
      <c r="M617" s="2" t="s">
        <v>21</v>
      </c>
      <c r="N617" s="2" t="s">
        <v>1054</v>
      </c>
      <c r="O617" s="2" t="s">
        <v>1058</v>
      </c>
      <c r="P617" t="s">
        <v>1079</v>
      </c>
      <c r="Q617">
        <v>2024</v>
      </c>
    </row>
    <row r="618" spans="1:17" hidden="1" x14ac:dyDescent="0.25">
      <c r="A618" s="1" t="s">
        <v>824</v>
      </c>
      <c r="B618" s="3">
        <v>45652</v>
      </c>
      <c r="C618" s="1" t="s">
        <v>150</v>
      </c>
      <c r="D618" s="1" t="s">
        <v>24</v>
      </c>
      <c r="E618" s="1" t="s">
        <v>25</v>
      </c>
      <c r="F618" s="2">
        <v>131.9</v>
      </c>
      <c r="G618" s="2" t="s">
        <v>68</v>
      </c>
      <c r="H618" s="2">
        <v>10</v>
      </c>
      <c r="I618" s="2">
        <v>1319</v>
      </c>
      <c r="J618" s="2" t="s">
        <v>18</v>
      </c>
      <c r="K618" s="2" t="s">
        <v>34</v>
      </c>
      <c r="L618" s="2" t="s">
        <v>47</v>
      </c>
      <c r="M618" s="2" t="s">
        <v>85</v>
      </c>
      <c r="N618" s="2" t="s">
        <v>1061</v>
      </c>
      <c r="O618" s="2" t="s">
        <v>1047</v>
      </c>
      <c r="P618" t="s">
        <v>1079</v>
      </c>
      <c r="Q618">
        <v>2024</v>
      </c>
    </row>
    <row r="619" spans="1:17" x14ac:dyDescent="0.25">
      <c r="A619" s="1" t="s">
        <v>825</v>
      </c>
      <c r="B619" s="3">
        <v>45704</v>
      </c>
      <c r="C619" s="1" t="s">
        <v>311</v>
      </c>
      <c r="D619" s="1" t="s">
        <v>15</v>
      </c>
      <c r="E619" s="1" t="s">
        <v>67</v>
      </c>
      <c r="F619" s="2">
        <v>144.88</v>
      </c>
      <c r="G619" s="2" t="s">
        <v>17</v>
      </c>
      <c r="H619" s="2">
        <v>14</v>
      </c>
      <c r="I619" s="2">
        <v>2028.37</v>
      </c>
      <c r="J619" s="2" t="s">
        <v>18</v>
      </c>
      <c r="K619" s="2" t="s">
        <v>19</v>
      </c>
      <c r="L619" s="2" t="s">
        <v>47</v>
      </c>
      <c r="M619" s="2" t="s">
        <v>85</v>
      </c>
      <c r="N619" s="2" t="s">
        <v>1060</v>
      </c>
      <c r="O619" s="2" t="s">
        <v>1055</v>
      </c>
      <c r="P619" t="s">
        <v>1079</v>
      </c>
      <c r="Q619">
        <v>2025</v>
      </c>
    </row>
    <row r="620" spans="1:17" hidden="1" x14ac:dyDescent="0.25">
      <c r="A620" s="1" t="s">
        <v>826</v>
      </c>
      <c r="B620" s="3">
        <v>45404</v>
      </c>
      <c r="C620" s="1" t="s">
        <v>827</v>
      </c>
      <c r="D620" s="1" t="s">
        <v>31</v>
      </c>
      <c r="E620" s="1" t="s">
        <v>67</v>
      </c>
      <c r="F620" s="2">
        <v>186.42</v>
      </c>
      <c r="G620" s="2" t="s">
        <v>31</v>
      </c>
      <c r="H620" s="2">
        <v>11</v>
      </c>
      <c r="I620" s="2">
        <v>2050.66</v>
      </c>
      <c r="J620" s="2" t="s">
        <v>18</v>
      </c>
      <c r="K620" s="2" t="s">
        <v>19</v>
      </c>
      <c r="L620" s="2" t="s">
        <v>27</v>
      </c>
      <c r="M620" s="2" t="s">
        <v>28</v>
      </c>
      <c r="N620" s="2" t="s">
        <v>1048</v>
      </c>
      <c r="O620" s="2" t="s">
        <v>1056</v>
      </c>
      <c r="P620" t="s">
        <v>1079</v>
      </c>
      <c r="Q620">
        <v>2024</v>
      </c>
    </row>
    <row r="621" spans="1:17" x14ac:dyDescent="0.25">
      <c r="A621" s="1" t="s">
        <v>828</v>
      </c>
      <c r="B621" s="3">
        <v>45936</v>
      </c>
      <c r="C621" s="1" t="s">
        <v>533</v>
      </c>
      <c r="D621" s="1" t="s">
        <v>31</v>
      </c>
      <c r="E621" s="1" t="s">
        <v>67</v>
      </c>
      <c r="F621" s="2">
        <v>142.91999999999999</v>
      </c>
      <c r="G621" s="2" t="s">
        <v>32</v>
      </c>
      <c r="H621" s="2">
        <v>13</v>
      </c>
      <c r="I621" s="2">
        <v>1858</v>
      </c>
      <c r="J621" s="2" t="s">
        <v>63</v>
      </c>
      <c r="K621" s="2" t="s">
        <v>19</v>
      </c>
      <c r="L621" s="2" t="s">
        <v>20</v>
      </c>
      <c r="M621" s="2" t="s">
        <v>21</v>
      </c>
      <c r="N621" s="2" t="s">
        <v>1046</v>
      </c>
      <c r="O621" s="2" t="s">
        <v>1056</v>
      </c>
      <c r="P621" t="s">
        <v>1079</v>
      </c>
      <c r="Q621">
        <v>2025</v>
      </c>
    </row>
    <row r="622" spans="1:17" hidden="1" x14ac:dyDescent="0.25">
      <c r="A622" s="1" t="s">
        <v>829</v>
      </c>
      <c r="B622" s="3">
        <v>45382</v>
      </c>
      <c r="C622" s="1" t="s">
        <v>145</v>
      </c>
      <c r="D622" s="1" t="s">
        <v>31</v>
      </c>
      <c r="E622" s="1" t="s">
        <v>16</v>
      </c>
      <c r="F622" s="2">
        <v>340.5</v>
      </c>
      <c r="G622" s="2" t="s">
        <v>31</v>
      </c>
      <c r="H622" s="2">
        <v>12</v>
      </c>
      <c r="I622" s="2">
        <v>4086</v>
      </c>
      <c r="J622" s="2" t="s">
        <v>18</v>
      </c>
      <c r="K622" s="2" t="s">
        <v>19</v>
      </c>
      <c r="L622" s="2" t="s">
        <v>41</v>
      </c>
      <c r="M622" s="2" t="s">
        <v>42</v>
      </c>
      <c r="N622" s="2" t="s">
        <v>1054</v>
      </c>
      <c r="O622" s="2" t="s">
        <v>1055</v>
      </c>
      <c r="P622" t="s">
        <v>1078</v>
      </c>
      <c r="Q622">
        <v>2024</v>
      </c>
    </row>
    <row r="623" spans="1:17" x14ac:dyDescent="0.25">
      <c r="A623" s="1" t="s">
        <v>830</v>
      </c>
      <c r="B623" s="3">
        <v>45934</v>
      </c>
      <c r="C623" s="1" t="s">
        <v>264</v>
      </c>
      <c r="D623" s="1" t="s">
        <v>39</v>
      </c>
      <c r="E623" s="1" t="s">
        <v>25</v>
      </c>
      <c r="F623" s="2">
        <v>75.48</v>
      </c>
      <c r="G623" s="2" t="s">
        <v>40</v>
      </c>
      <c r="H623" s="2">
        <v>15</v>
      </c>
      <c r="I623" s="2">
        <v>1132.26</v>
      </c>
      <c r="J623" s="2" t="s">
        <v>18</v>
      </c>
      <c r="K623" s="2" t="s">
        <v>19</v>
      </c>
      <c r="L623" s="2" t="s">
        <v>20</v>
      </c>
      <c r="M623" s="2" t="s">
        <v>21</v>
      </c>
      <c r="N623" s="2" t="s">
        <v>1046</v>
      </c>
      <c r="O623" s="2" t="s">
        <v>1063</v>
      </c>
      <c r="P623" t="s">
        <v>1079</v>
      </c>
      <c r="Q623">
        <v>2025</v>
      </c>
    </row>
    <row r="624" spans="1:17" hidden="1" x14ac:dyDescent="0.25">
      <c r="A624" s="1" t="s">
        <v>831</v>
      </c>
      <c r="B624" s="3">
        <v>45338</v>
      </c>
      <c r="C624" s="1" t="s">
        <v>92</v>
      </c>
      <c r="D624" s="1" t="s">
        <v>24</v>
      </c>
      <c r="E624" s="1" t="s">
        <v>67</v>
      </c>
      <c r="F624" s="2">
        <v>283.77</v>
      </c>
      <c r="G624" s="2" t="s">
        <v>170</v>
      </c>
      <c r="H624" s="2">
        <v>11</v>
      </c>
      <c r="I624" s="2">
        <v>3121.52</v>
      </c>
      <c r="J624" s="2" t="s">
        <v>18</v>
      </c>
      <c r="K624" s="2" t="s">
        <v>19</v>
      </c>
      <c r="L624" s="2" t="s">
        <v>20</v>
      </c>
      <c r="M624" s="2" t="s">
        <v>21</v>
      </c>
      <c r="N624" s="2" t="s">
        <v>1060</v>
      </c>
      <c r="O624" s="2" t="s">
        <v>1058</v>
      </c>
      <c r="P624" t="s">
        <v>1079</v>
      </c>
      <c r="Q624">
        <v>2024</v>
      </c>
    </row>
    <row r="625" spans="1:17" x14ac:dyDescent="0.25">
      <c r="A625" s="1" t="s">
        <v>832</v>
      </c>
      <c r="B625" s="3">
        <v>45916</v>
      </c>
      <c r="C625" s="1" t="s">
        <v>453</v>
      </c>
      <c r="D625" s="1" t="s">
        <v>15</v>
      </c>
      <c r="E625" s="1" t="s">
        <v>16</v>
      </c>
      <c r="F625" s="2">
        <v>567.19000000000005</v>
      </c>
      <c r="G625" s="2" t="s">
        <v>17</v>
      </c>
      <c r="H625" s="2">
        <v>13</v>
      </c>
      <c r="I625" s="2">
        <v>7373.48</v>
      </c>
      <c r="J625" s="2" t="s">
        <v>18</v>
      </c>
      <c r="K625" s="2" t="s">
        <v>19</v>
      </c>
      <c r="L625" s="2" t="s">
        <v>47</v>
      </c>
      <c r="M625" s="2" t="s">
        <v>48</v>
      </c>
      <c r="N625" s="2" t="s">
        <v>1049</v>
      </c>
      <c r="O625" s="2" t="s">
        <v>1053</v>
      </c>
      <c r="P625" t="s">
        <v>1078</v>
      </c>
      <c r="Q625">
        <v>2025</v>
      </c>
    </row>
    <row r="626" spans="1:17" x14ac:dyDescent="0.25">
      <c r="A626" s="1" t="s">
        <v>833</v>
      </c>
      <c r="B626" s="3">
        <v>45868</v>
      </c>
      <c r="C626" s="1" t="s">
        <v>23</v>
      </c>
      <c r="D626" s="1" t="s">
        <v>24</v>
      </c>
      <c r="E626" s="1" t="s">
        <v>45</v>
      </c>
      <c r="F626" s="2">
        <v>110.8</v>
      </c>
      <c r="G626" s="2" t="s">
        <v>26</v>
      </c>
      <c r="H626" s="2">
        <v>10</v>
      </c>
      <c r="I626" s="2">
        <v>1108</v>
      </c>
      <c r="J626" s="2" t="s">
        <v>18</v>
      </c>
      <c r="K626" s="2" t="s">
        <v>34</v>
      </c>
      <c r="L626" s="2" t="s">
        <v>20</v>
      </c>
      <c r="M626" s="2" t="s">
        <v>64</v>
      </c>
      <c r="N626" s="2" t="s">
        <v>1052</v>
      </c>
      <c r="O626" s="2" t="s">
        <v>1059</v>
      </c>
      <c r="P626" t="s">
        <v>1079</v>
      </c>
      <c r="Q626">
        <v>2025</v>
      </c>
    </row>
    <row r="627" spans="1:17" x14ac:dyDescent="0.25">
      <c r="A627" s="1" t="s">
        <v>834</v>
      </c>
      <c r="B627" s="3">
        <v>45677</v>
      </c>
      <c r="C627" s="1" t="s">
        <v>400</v>
      </c>
      <c r="D627" s="1" t="s">
        <v>39</v>
      </c>
      <c r="E627" s="1" t="s">
        <v>67</v>
      </c>
      <c r="F627" s="2">
        <v>227.43</v>
      </c>
      <c r="G627" s="2" t="s">
        <v>136</v>
      </c>
      <c r="H627" s="2">
        <v>13</v>
      </c>
      <c r="I627" s="2">
        <v>2956.55</v>
      </c>
      <c r="J627" s="2" t="s">
        <v>63</v>
      </c>
      <c r="K627" s="2" t="s">
        <v>19</v>
      </c>
      <c r="L627" s="2" t="s">
        <v>35</v>
      </c>
      <c r="M627" s="2" t="s">
        <v>36</v>
      </c>
      <c r="N627" s="2" t="s">
        <v>1050</v>
      </c>
      <c r="O627" s="2" t="s">
        <v>1056</v>
      </c>
      <c r="P627" t="s">
        <v>1079</v>
      </c>
      <c r="Q627">
        <v>2025</v>
      </c>
    </row>
    <row r="628" spans="1:17" x14ac:dyDescent="0.25">
      <c r="A628" s="1" t="s">
        <v>835</v>
      </c>
      <c r="B628" s="3">
        <v>45795</v>
      </c>
      <c r="C628" s="1" t="s">
        <v>836</v>
      </c>
      <c r="D628" s="1" t="s">
        <v>15</v>
      </c>
      <c r="E628" s="1" t="s">
        <v>67</v>
      </c>
      <c r="F628" s="2">
        <v>376.41</v>
      </c>
      <c r="G628" s="2" t="s">
        <v>17</v>
      </c>
      <c r="H628" s="2">
        <v>13</v>
      </c>
      <c r="I628" s="2">
        <v>4893.28</v>
      </c>
      <c r="J628" s="2" t="s">
        <v>18</v>
      </c>
      <c r="K628" s="2" t="s">
        <v>19</v>
      </c>
      <c r="L628" s="2" t="s">
        <v>47</v>
      </c>
      <c r="M628" s="2" t="s">
        <v>48</v>
      </c>
      <c r="N628" s="2" t="s">
        <v>1057</v>
      </c>
      <c r="O628" s="2" t="s">
        <v>1055</v>
      </c>
      <c r="P628" t="s">
        <v>1078</v>
      </c>
      <c r="Q628">
        <v>2025</v>
      </c>
    </row>
    <row r="629" spans="1:17" x14ac:dyDescent="0.25">
      <c r="A629" s="1" t="s">
        <v>837</v>
      </c>
      <c r="B629" s="3">
        <v>45885</v>
      </c>
      <c r="C629" s="1" t="s">
        <v>311</v>
      </c>
      <c r="D629" s="1" t="s">
        <v>15</v>
      </c>
      <c r="E629" s="1" t="s">
        <v>25</v>
      </c>
      <c r="F629" s="2">
        <v>70.31</v>
      </c>
      <c r="G629" s="2" t="s">
        <v>17</v>
      </c>
      <c r="H629" s="2">
        <v>10</v>
      </c>
      <c r="I629" s="2">
        <v>703.07</v>
      </c>
      <c r="J629" s="2" t="s">
        <v>18</v>
      </c>
      <c r="K629" s="2" t="s">
        <v>34</v>
      </c>
      <c r="L629" s="2" t="s">
        <v>47</v>
      </c>
      <c r="M629" s="2" t="s">
        <v>48</v>
      </c>
      <c r="N629" s="2" t="s">
        <v>1051</v>
      </c>
      <c r="O629" s="2" t="s">
        <v>1063</v>
      </c>
      <c r="P629" t="s">
        <v>1079</v>
      </c>
      <c r="Q629">
        <v>2025</v>
      </c>
    </row>
    <row r="630" spans="1:17" x14ac:dyDescent="0.25">
      <c r="A630" s="1" t="s">
        <v>838</v>
      </c>
      <c r="B630" s="3">
        <v>45923</v>
      </c>
      <c r="C630" s="1" t="s">
        <v>145</v>
      </c>
      <c r="D630" s="1" t="s">
        <v>39</v>
      </c>
      <c r="E630" s="1" t="s">
        <v>67</v>
      </c>
      <c r="F630" s="2">
        <v>361.78</v>
      </c>
      <c r="G630" s="2" t="s">
        <v>136</v>
      </c>
      <c r="H630" s="2">
        <v>6</v>
      </c>
      <c r="I630" s="2">
        <v>2170.65</v>
      </c>
      <c r="J630" s="2" t="s">
        <v>18</v>
      </c>
      <c r="K630" s="2" t="s">
        <v>34</v>
      </c>
      <c r="L630" s="2" t="s">
        <v>35</v>
      </c>
      <c r="M630" s="2" t="s">
        <v>126</v>
      </c>
      <c r="N630" s="2" t="s">
        <v>1049</v>
      </c>
      <c r="O630" s="2" t="s">
        <v>1053</v>
      </c>
      <c r="P630" t="s">
        <v>1079</v>
      </c>
      <c r="Q630">
        <v>2025</v>
      </c>
    </row>
    <row r="631" spans="1:17" hidden="1" x14ac:dyDescent="0.25">
      <c r="A631" s="1" t="s">
        <v>839</v>
      </c>
      <c r="B631" s="3">
        <v>45514</v>
      </c>
      <c r="C631" s="1" t="s">
        <v>92</v>
      </c>
      <c r="D631" s="1" t="s">
        <v>39</v>
      </c>
      <c r="E631" s="1" t="s">
        <v>71</v>
      </c>
      <c r="F631" s="2">
        <v>99.86</v>
      </c>
      <c r="G631" s="2" t="s">
        <v>93</v>
      </c>
      <c r="H631" s="2">
        <v>14</v>
      </c>
      <c r="I631" s="2">
        <v>1398</v>
      </c>
      <c r="J631" s="2" t="s">
        <v>18</v>
      </c>
      <c r="K631" s="2" t="s">
        <v>19</v>
      </c>
      <c r="L631" s="2" t="s">
        <v>47</v>
      </c>
      <c r="M631" s="2" t="s">
        <v>153</v>
      </c>
      <c r="N631" s="2" t="s">
        <v>1051</v>
      </c>
      <c r="O631" s="2" t="s">
        <v>1063</v>
      </c>
      <c r="P631" t="s">
        <v>1079</v>
      </c>
      <c r="Q631">
        <v>2024</v>
      </c>
    </row>
    <row r="632" spans="1:17" x14ac:dyDescent="0.25">
      <c r="A632" s="1" t="s">
        <v>840</v>
      </c>
      <c r="B632" s="3">
        <v>45888</v>
      </c>
      <c r="C632" s="1" t="s">
        <v>114</v>
      </c>
      <c r="D632" s="1" t="s">
        <v>39</v>
      </c>
      <c r="E632" s="1" t="s">
        <v>16</v>
      </c>
      <c r="F632" s="2">
        <v>135.36000000000001</v>
      </c>
      <c r="G632" s="2" t="s">
        <v>72</v>
      </c>
      <c r="H632" s="2">
        <v>11</v>
      </c>
      <c r="I632" s="2">
        <v>1488.93</v>
      </c>
      <c r="J632" s="2" t="s">
        <v>18</v>
      </c>
      <c r="K632" s="2" t="s">
        <v>19</v>
      </c>
      <c r="L632" s="2" t="s">
        <v>47</v>
      </c>
      <c r="M632" s="2" t="s">
        <v>85</v>
      </c>
      <c r="N632" s="2" t="s">
        <v>1051</v>
      </c>
      <c r="O632" s="2" t="s">
        <v>1053</v>
      </c>
      <c r="P632" t="s">
        <v>1079</v>
      </c>
      <c r="Q632">
        <v>2025</v>
      </c>
    </row>
    <row r="633" spans="1:17" hidden="1" x14ac:dyDescent="0.25">
      <c r="A633" s="1" t="s">
        <v>841</v>
      </c>
      <c r="B633" s="3">
        <v>45654</v>
      </c>
      <c r="C633" s="1" t="s">
        <v>279</v>
      </c>
      <c r="D633" s="1" t="s">
        <v>39</v>
      </c>
      <c r="E633" s="1" t="s">
        <v>67</v>
      </c>
      <c r="F633" s="2">
        <v>140.36000000000001</v>
      </c>
      <c r="G633" s="2" t="s">
        <v>1083</v>
      </c>
      <c r="H633" s="2">
        <v>16</v>
      </c>
      <c r="I633" s="2">
        <v>2245.7199999999998</v>
      </c>
      <c r="J633" s="2" t="s">
        <v>63</v>
      </c>
      <c r="K633" s="2" t="s">
        <v>19</v>
      </c>
      <c r="L633" s="2" t="s">
        <v>20</v>
      </c>
      <c r="M633" s="2" t="s">
        <v>21</v>
      </c>
      <c r="N633" s="2" t="s">
        <v>1061</v>
      </c>
      <c r="O633" s="2" t="s">
        <v>1063</v>
      </c>
      <c r="P633" t="s">
        <v>1079</v>
      </c>
      <c r="Q633">
        <v>2024</v>
      </c>
    </row>
    <row r="634" spans="1:17" x14ac:dyDescent="0.25">
      <c r="A634" s="1" t="s">
        <v>842</v>
      </c>
      <c r="B634" s="3">
        <v>45831</v>
      </c>
      <c r="C634" s="1" t="s">
        <v>324</v>
      </c>
      <c r="D634" s="1" t="s">
        <v>55</v>
      </c>
      <c r="E634" s="1" t="s">
        <v>45</v>
      </c>
      <c r="F634" s="2">
        <v>161.66999999999999</v>
      </c>
      <c r="G634" s="2" t="s">
        <v>148</v>
      </c>
      <c r="H634" s="2">
        <v>11</v>
      </c>
      <c r="I634" s="2">
        <v>1778.38</v>
      </c>
      <c r="J634" s="2" t="s">
        <v>18</v>
      </c>
      <c r="K634" s="2" t="s">
        <v>19</v>
      </c>
      <c r="L634" s="2" t="s">
        <v>27</v>
      </c>
      <c r="M634" s="2" t="s">
        <v>28</v>
      </c>
      <c r="N634" s="2" t="s">
        <v>1062</v>
      </c>
      <c r="O634" s="2" t="s">
        <v>1056</v>
      </c>
      <c r="P634" t="s">
        <v>1079</v>
      </c>
      <c r="Q634">
        <v>2025</v>
      </c>
    </row>
    <row r="635" spans="1:17" hidden="1" x14ac:dyDescent="0.25">
      <c r="A635" s="1" t="s">
        <v>843</v>
      </c>
      <c r="B635" s="3">
        <v>45521</v>
      </c>
      <c r="C635" s="1" t="s">
        <v>70</v>
      </c>
      <c r="D635" s="1" t="s">
        <v>24</v>
      </c>
      <c r="E635" s="1" t="s">
        <v>25</v>
      </c>
      <c r="F635" s="2">
        <v>170.28</v>
      </c>
      <c r="G635" s="2" t="s">
        <v>170</v>
      </c>
      <c r="H635" s="2">
        <v>11</v>
      </c>
      <c r="I635" s="2">
        <v>1873.08</v>
      </c>
      <c r="J635" s="2" t="s">
        <v>18</v>
      </c>
      <c r="K635" s="2" t="s">
        <v>19</v>
      </c>
      <c r="L635" s="2" t="s">
        <v>41</v>
      </c>
      <c r="M635" s="2" t="s">
        <v>76</v>
      </c>
      <c r="N635" s="2" t="s">
        <v>1051</v>
      </c>
      <c r="O635" s="2" t="s">
        <v>1063</v>
      </c>
      <c r="P635" t="s">
        <v>1079</v>
      </c>
      <c r="Q635">
        <v>2024</v>
      </c>
    </row>
    <row r="636" spans="1:17" hidden="1" x14ac:dyDescent="0.25">
      <c r="A636" s="1" t="s">
        <v>844</v>
      </c>
      <c r="B636" s="3">
        <v>45504</v>
      </c>
      <c r="C636" s="1" t="s">
        <v>845</v>
      </c>
      <c r="D636" s="1" t="s">
        <v>39</v>
      </c>
      <c r="E636" s="1" t="s">
        <v>25</v>
      </c>
      <c r="F636" s="2">
        <v>155.28</v>
      </c>
      <c r="G636" s="2" t="s">
        <v>1083</v>
      </c>
      <c r="H636" s="2">
        <v>20</v>
      </c>
      <c r="I636" s="2">
        <v>3105.56</v>
      </c>
      <c r="J636" s="2" t="s">
        <v>63</v>
      </c>
      <c r="K636" s="2" t="s">
        <v>19</v>
      </c>
      <c r="L636" s="2" t="s">
        <v>35</v>
      </c>
      <c r="M636" s="2" t="s">
        <v>126</v>
      </c>
      <c r="N636" s="2" t="s">
        <v>1052</v>
      </c>
      <c r="O636" s="2" t="s">
        <v>1059</v>
      </c>
      <c r="P636" t="s">
        <v>1079</v>
      </c>
      <c r="Q636">
        <v>2024</v>
      </c>
    </row>
    <row r="637" spans="1:17" x14ac:dyDescent="0.25">
      <c r="A637" s="1" t="s">
        <v>846</v>
      </c>
      <c r="B637" s="3">
        <v>45698</v>
      </c>
      <c r="C637" s="1" t="s">
        <v>110</v>
      </c>
      <c r="D637" s="1" t="s">
        <v>24</v>
      </c>
      <c r="E637" s="1" t="s">
        <v>16</v>
      </c>
      <c r="F637" s="2">
        <v>72.92</v>
      </c>
      <c r="G637" s="2" t="s">
        <v>26</v>
      </c>
      <c r="H637" s="2">
        <v>16</v>
      </c>
      <c r="I637" s="2">
        <v>1166.72</v>
      </c>
      <c r="J637" s="2" t="s">
        <v>33</v>
      </c>
      <c r="K637" s="2" t="s">
        <v>19</v>
      </c>
      <c r="L637" s="2" t="s">
        <v>47</v>
      </c>
      <c r="M637" s="2" t="s">
        <v>48</v>
      </c>
      <c r="N637" s="2" t="s">
        <v>1060</v>
      </c>
      <c r="O637" s="2" t="s">
        <v>1056</v>
      </c>
      <c r="P637" t="s">
        <v>1079</v>
      </c>
      <c r="Q637">
        <v>2025</v>
      </c>
    </row>
    <row r="638" spans="1:17" hidden="1" x14ac:dyDescent="0.25">
      <c r="A638" s="1" t="s">
        <v>847</v>
      </c>
      <c r="B638" s="3">
        <v>45642</v>
      </c>
      <c r="C638" s="1" t="s">
        <v>147</v>
      </c>
      <c r="D638" s="1" t="s">
        <v>39</v>
      </c>
      <c r="E638" s="1" t="s">
        <v>25</v>
      </c>
      <c r="F638" s="2">
        <v>153.16999999999999</v>
      </c>
      <c r="G638" s="2" t="s">
        <v>40</v>
      </c>
      <c r="H638" s="2">
        <v>8</v>
      </c>
      <c r="I638" s="2">
        <v>1225.3599999999999</v>
      </c>
      <c r="J638" s="2" t="s">
        <v>63</v>
      </c>
      <c r="K638" s="2" t="s">
        <v>34</v>
      </c>
      <c r="L638" s="2" t="s">
        <v>20</v>
      </c>
      <c r="M638" s="2" t="s">
        <v>64</v>
      </c>
      <c r="N638" s="2" t="s">
        <v>1061</v>
      </c>
      <c r="O638" s="2" t="s">
        <v>1056</v>
      </c>
      <c r="P638" t="s">
        <v>1079</v>
      </c>
      <c r="Q638">
        <v>2024</v>
      </c>
    </row>
    <row r="639" spans="1:17" x14ac:dyDescent="0.25">
      <c r="A639" s="1" t="s">
        <v>848</v>
      </c>
      <c r="B639" s="3">
        <v>45859</v>
      </c>
      <c r="C639" s="1" t="s">
        <v>292</v>
      </c>
      <c r="D639" s="1" t="s">
        <v>24</v>
      </c>
      <c r="E639" s="1" t="s">
        <v>67</v>
      </c>
      <c r="F639" s="2">
        <v>105.27</v>
      </c>
      <c r="G639" s="2" t="s">
        <v>170</v>
      </c>
      <c r="H639" s="2">
        <v>10</v>
      </c>
      <c r="I639" s="2">
        <v>1052.6600000000001</v>
      </c>
      <c r="J639" s="2" t="s">
        <v>33</v>
      </c>
      <c r="K639" s="2" t="s">
        <v>34</v>
      </c>
      <c r="L639" s="2" t="s">
        <v>35</v>
      </c>
      <c r="M639" s="2" t="s">
        <v>52</v>
      </c>
      <c r="N639" s="2" t="s">
        <v>1052</v>
      </c>
      <c r="O639" s="2" t="s">
        <v>1056</v>
      </c>
      <c r="P639" t="s">
        <v>1079</v>
      </c>
      <c r="Q639">
        <v>2025</v>
      </c>
    </row>
    <row r="640" spans="1:17" x14ac:dyDescent="0.25">
      <c r="A640" s="1" t="s">
        <v>849</v>
      </c>
      <c r="B640" s="3">
        <v>45735</v>
      </c>
      <c r="C640" s="1" t="s">
        <v>400</v>
      </c>
      <c r="D640" s="1" t="s">
        <v>55</v>
      </c>
      <c r="E640" s="1" t="s">
        <v>71</v>
      </c>
      <c r="F640" s="2">
        <v>67.989999999999995</v>
      </c>
      <c r="G640" s="2" t="s">
        <v>79</v>
      </c>
      <c r="H640" s="2">
        <v>14</v>
      </c>
      <c r="I640" s="2">
        <v>951.87</v>
      </c>
      <c r="J640" s="2" t="s">
        <v>18</v>
      </c>
      <c r="K640" s="2" t="s">
        <v>19</v>
      </c>
      <c r="L640" s="2" t="s">
        <v>27</v>
      </c>
      <c r="M640" s="2" t="s">
        <v>28</v>
      </c>
      <c r="N640" s="2" t="s">
        <v>1054</v>
      </c>
      <c r="O640" s="2" t="s">
        <v>1059</v>
      </c>
      <c r="P640" t="s">
        <v>1079</v>
      </c>
      <c r="Q640">
        <v>2025</v>
      </c>
    </row>
    <row r="641" spans="1:17" x14ac:dyDescent="0.25">
      <c r="A641" s="1" t="s">
        <v>850</v>
      </c>
      <c r="B641" s="3">
        <v>45809</v>
      </c>
      <c r="C641" s="1" t="s">
        <v>81</v>
      </c>
      <c r="D641" s="1" t="s">
        <v>15</v>
      </c>
      <c r="E641" s="1" t="s">
        <v>71</v>
      </c>
      <c r="F641" s="2">
        <v>96.14</v>
      </c>
      <c r="G641" s="2" t="s">
        <v>82</v>
      </c>
      <c r="H641" s="2">
        <v>14</v>
      </c>
      <c r="I641" s="2">
        <v>1346</v>
      </c>
      <c r="J641" s="2" t="s">
        <v>18</v>
      </c>
      <c r="K641" s="2" t="s">
        <v>19</v>
      </c>
      <c r="L641" s="2" t="s">
        <v>35</v>
      </c>
      <c r="M641" s="2" t="s">
        <v>36</v>
      </c>
      <c r="N641" s="2" t="s">
        <v>1062</v>
      </c>
      <c r="O641" s="2" t="s">
        <v>1055</v>
      </c>
      <c r="P641" t="s">
        <v>1079</v>
      </c>
      <c r="Q641">
        <v>2025</v>
      </c>
    </row>
    <row r="642" spans="1:17" hidden="1" x14ac:dyDescent="0.25">
      <c r="A642" s="1" t="s">
        <v>851</v>
      </c>
      <c r="B642" s="3">
        <v>45302</v>
      </c>
      <c r="C642" s="1" t="s">
        <v>61</v>
      </c>
      <c r="D642" s="1" t="s">
        <v>15</v>
      </c>
      <c r="E642" s="1" t="s">
        <v>16</v>
      </c>
      <c r="F642" s="2">
        <v>195.64</v>
      </c>
      <c r="G642" s="2" t="s">
        <v>82</v>
      </c>
      <c r="H642" s="2">
        <v>14</v>
      </c>
      <c r="I642" s="2">
        <v>2739</v>
      </c>
      <c r="J642" s="2" t="s">
        <v>18</v>
      </c>
      <c r="K642" s="2" t="s">
        <v>19</v>
      </c>
      <c r="L642" s="2" t="s">
        <v>47</v>
      </c>
      <c r="M642" s="2" t="s">
        <v>48</v>
      </c>
      <c r="N642" s="2" t="s">
        <v>1050</v>
      </c>
      <c r="O642" s="2" t="s">
        <v>1047</v>
      </c>
      <c r="P642" t="s">
        <v>1079</v>
      </c>
      <c r="Q642">
        <v>2024</v>
      </c>
    </row>
    <row r="643" spans="1:17" hidden="1" x14ac:dyDescent="0.25">
      <c r="A643" s="1" t="s">
        <v>852</v>
      </c>
      <c r="B643" s="3">
        <v>45362</v>
      </c>
      <c r="C643" s="1" t="s">
        <v>275</v>
      </c>
      <c r="D643" s="1" t="s">
        <v>15</v>
      </c>
      <c r="E643" s="1" t="s">
        <v>71</v>
      </c>
      <c r="F643" s="2">
        <v>182.96</v>
      </c>
      <c r="G643" s="2" t="s">
        <v>51</v>
      </c>
      <c r="H643" s="2">
        <v>15</v>
      </c>
      <c r="I643" s="2">
        <v>2744.45</v>
      </c>
      <c r="J643" s="2" t="s">
        <v>18</v>
      </c>
      <c r="K643" s="2" t="s">
        <v>19</v>
      </c>
      <c r="L643" s="2" t="s">
        <v>41</v>
      </c>
      <c r="M643" s="2" t="s">
        <v>76</v>
      </c>
      <c r="N643" s="2" t="s">
        <v>1054</v>
      </c>
      <c r="O643" s="2" t="s">
        <v>1056</v>
      </c>
      <c r="P643" t="s">
        <v>1079</v>
      </c>
      <c r="Q643">
        <v>2024</v>
      </c>
    </row>
    <row r="644" spans="1:17" x14ac:dyDescent="0.25">
      <c r="A644" s="1" t="s">
        <v>853</v>
      </c>
      <c r="B644" s="3">
        <v>45876</v>
      </c>
      <c r="C644" s="1" t="s">
        <v>419</v>
      </c>
      <c r="D644" s="1" t="s">
        <v>39</v>
      </c>
      <c r="E644" s="1" t="s">
        <v>67</v>
      </c>
      <c r="F644" s="2">
        <v>83.12</v>
      </c>
      <c r="G644" s="2" t="s">
        <v>40</v>
      </c>
      <c r="H644" s="2">
        <v>12</v>
      </c>
      <c r="I644" s="2">
        <v>997.46</v>
      </c>
      <c r="J644" s="2" t="s">
        <v>18</v>
      </c>
      <c r="K644" s="2" t="s">
        <v>19</v>
      </c>
      <c r="L644" s="2" t="s">
        <v>41</v>
      </c>
      <c r="M644" s="2" t="s">
        <v>141</v>
      </c>
      <c r="N644" s="2" t="s">
        <v>1051</v>
      </c>
      <c r="O644" s="2" t="s">
        <v>1047</v>
      </c>
      <c r="P644" t="s">
        <v>1079</v>
      </c>
      <c r="Q644">
        <v>2025</v>
      </c>
    </row>
    <row r="645" spans="1:17" x14ac:dyDescent="0.25">
      <c r="A645" s="1" t="s">
        <v>854</v>
      </c>
      <c r="B645" s="3">
        <v>45771</v>
      </c>
      <c r="C645" s="1" t="s">
        <v>320</v>
      </c>
      <c r="D645" s="1" t="s">
        <v>39</v>
      </c>
      <c r="E645" s="1" t="s">
        <v>45</v>
      </c>
      <c r="F645" s="2">
        <v>2141.5700000000002</v>
      </c>
      <c r="G645" s="2" t="s">
        <v>93</v>
      </c>
      <c r="H645" s="2">
        <v>1</v>
      </c>
      <c r="I645" s="2">
        <v>2141.5700000000002</v>
      </c>
      <c r="J645" s="2" t="s">
        <v>33</v>
      </c>
      <c r="K645" s="2" t="s">
        <v>34</v>
      </c>
      <c r="L645" s="2" t="s">
        <v>27</v>
      </c>
      <c r="M645" s="2" t="s">
        <v>59</v>
      </c>
      <c r="N645" s="2" t="s">
        <v>1048</v>
      </c>
      <c r="O645" s="2" t="s">
        <v>1047</v>
      </c>
      <c r="P645" t="s">
        <v>1079</v>
      </c>
      <c r="Q645">
        <v>2025</v>
      </c>
    </row>
    <row r="646" spans="1:17" hidden="1" x14ac:dyDescent="0.25">
      <c r="A646" s="1" t="s">
        <v>855</v>
      </c>
      <c r="B646" s="3">
        <v>45364</v>
      </c>
      <c r="C646" s="1" t="s">
        <v>266</v>
      </c>
      <c r="D646" s="1" t="s">
        <v>31</v>
      </c>
      <c r="E646" s="1" t="s">
        <v>71</v>
      </c>
      <c r="F646" s="2">
        <v>348.95</v>
      </c>
      <c r="G646" s="2" t="s">
        <v>46</v>
      </c>
      <c r="H646" s="2">
        <v>10</v>
      </c>
      <c r="I646" s="2">
        <v>3489.51</v>
      </c>
      <c r="J646" s="2" t="s">
        <v>18</v>
      </c>
      <c r="K646" s="2" t="s">
        <v>19</v>
      </c>
      <c r="L646" s="2" t="s">
        <v>27</v>
      </c>
      <c r="M646" s="2" t="s">
        <v>161</v>
      </c>
      <c r="N646" s="2" t="s">
        <v>1054</v>
      </c>
      <c r="O646" s="2" t="s">
        <v>1059</v>
      </c>
      <c r="P646" t="s">
        <v>1079</v>
      </c>
      <c r="Q646">
        <v>2024</v>
      </c>
    </row>
    <row r="647" spans="1:17" hidden="1" x14ac:dyDescent="0.25">
      <c r="A647" s="1" t="s">
        <v>856</v>
      </c>
      <c r="B647" s="3">
        <v>45300</v>
      </c>
      <c r="C647" s="1" t="s">
        <v>857</v>
      </c>
      <c r="D647" s="1" t="s">
        <v>15</v>
      </c>
      <c r="E647" s="1" t="s">
        <v>71</v>
      </c>
      <c r="F647" s="2">
        <v>173.85</v>
      </c>
      <c r="G647" s="2" t="s">
        <v>62</v>
      </c>
      <c r="H647" s="2">
        <v>8</v>
      </c>
      <c r="I647" s="2">
        <v>1390.78</v>
      </c>
      <c r="J647" s="2" t="s">
        <v>18</v>
      </c>
      <c r="K647" s="2" t="s">
        <v>34</v>
      </c>
      <c r="L647" s="2" t="s">
        <v>35</v>
      </c>
      <c r="M647" s="2" t="s">
        <v>52</v>
      </c>
      <c r="N647" s="2" t="s">
        <v>1050</v>
      </c>
      <c r="O647" s="2" t="s">
        <v>1053</v>
      </c>
      <c r="P647" t="s">
        <v>1079</v>
      </c>
      <c r="Q647">
        <v>2024</v>
      </c>
    </row>
    <row r="648" spans="1:17" x14ac:dyDescent="0.25">
      <c r="A648" s="1" t="s">
        <v>858</v>
      </c>
      <c r="B648" s="3">
        <v>45853</v>
      </c>
      <c r="C648" s="1" t="s">
        <v>204</v>
      </c>
      <c r="D648" s="1" t="s">
        <v>55</v>
      </c>
      <c r="E648" s="1" t="s">
        <v>45</v>
      </c>
      <c r="F648" s="2">
        <v>222.53</v>
      </c>
      <c r="G648" s="2" t="s">
        <v>148</v>
      </c>
      <c r="H648" s="2">
        <v>8</v>
      </c>
      <c r="I648" s="2">
        <v>1780.28</v>
      </c>
      <c r="J648" s="2" t="s">
        <v>33</v>
      </c>
      <c r="K648" s="2" t="s">
        <v>34</v>
      </c>
      <c r="L648" s="2" t="s">
        <v>47</v>
      </c>
      <c r="M648" s="2" t="s">
        <v>48</v>
      </c>
      <c r="N648" s="2" t="s">
        <v>1052</v>
      </c>
      <c r="O648" s="2" t="s">
        <v>1053</v>
      </c>
      <c r="P648" t="s">
        <v>1079</v>
      </c>
      <c r="Q648">
        <v>2025</v>
      </c>
    </row>
    <row r="649" spans="1:17" x14ac:dyDescent="0.25">
      <c r="A649" s="1" t="s">
        <v>859</v>
      </c>
      <c r="B649" s="3">
        <v>45693</v>
      </c>
      <c r="C649" s="1" t="s">
        <v>363</v>
      </c>
      <c r="D649" s="1" t="s">
        <v>55</v>
      </c>
      <c r="E649" s="1" t="s">
        <v>67</v>
      </c>
      <c r="F649" s="2">
        <v>123.31</v>
      </c>
      <c r="G649" s="2" t="s">
        <v>56</v>
      </c>
      <c r="H649" s="2">
        <v>8</v>
      </c>
      <c r="I649" s="2">
        <v>986.47</v>
      </c>
      <c r="J649" s="2" t="s">
        <v>63</v>
      </c>
      <c r="K649" s="2" t="s">
        <v>34</v>
      </c>
      <c r="L649" s="2" t="s">
        <v>35</v>
      </c>
      <c r="M649" s="2" t="s">
        <v>36</v>
      </c>
      <c r="N649" s="2" t="s">
        <v>1060</v>
      </c>
      <c r="O649" s="2" t="s">
        <v>1059</v>
      </c>
      <c r="P649" t="s">
        <v>1079</v>
      </c>
      <c r="Q649">
        <v>2025</v>
      </c>
    </row>
    <row r="650" spans="1:17" hidden="1" x14ac:dyDescent="0.25">
      <c r="A650" s="1" t="s">
        <v>860</v>
      </c>
      <c r="B650" s="3">
        <v>45596</v>
      </c>
      <c r="C650" s="1" t="s">
        <v>114</v>
      </c>
      <c r="D650" s="1" t="s">
        <v>31</v>
      </c>
      <c r="E650" s="1" t="s">
        <v>71</v>
      </c>
      <c r="F650" s="2">
        <v>82.49</v>
      </c>
      <c r="G650" s="2" t="s">
        <v>32</v>
      </c>
      <c r="H650" s="2">
        <v>14</v>
      </c>
      <c r="I650" s="2">
        <v>1154.8699999999999</v>
      </c>
      <c r="J650" s="2" t="s">
        <v>18</v>
      </c>
      <c r="K650" s="2" t="s">
        <v>19</v>
      </c>
      <c r="L650" s="2" t="s">
        <v>47</v>
      </c>
      <c r="M650" s="2" t="s">
        <v>85</v>
      </c>
      <c r="N650" s="2" t="s">
        <v>1046</v>
      </c>
      <c r="O650" s="2" t="s">
        <v>1047</v>
      </c>
      <c r="P650" t="s">
        <v>1079</v>
      </c>
      <c r="Q650">
        <v>2024</v>
      </c>
    </row>
    <row r="651" spans="1:17" hidden="1" x14ac:dyDescent="0.25">
      <c r="A651" s="1" t="s">
        <v>861</v>
      </c>
      <c r="B651" s="3">
        <v>45611</v>
      </c>
      <c r="C651" s="1" t="s">
        <v>23</v>
      </c>
      <c r="D651" s="1" t="s">
        <v>15</v>
      </c>
      <c r="E651" s="1" t="s">
        <v>67</v>
      </c>
      <c r="F651" s="2">
        <v>158.44999999999999</v>
      </c>
      <c r="G651" s="2" t="s">
        <v>82</v>
      </c>
      <c r="H651" s="2">
        <v>10</v>
      </c>
      <c r="I651" s="2">
        <v>1584.48</v>
      </c>
      <c r="J651" s="2" t="s">
        <v>18</v>
      </c>
      <c r="K651" s="2" t="s">
        <v>34</v>
      </c>
      <c r="L651" s="2" t="s">
        <v>35</v>
      </c>
      <c r="M651" s="2" t="s">
        <v>126</v>
      </c>
      <c r="N651" s="2" t="s">
        <v>1064</v>
      </c>
      <c r="O651" s="2" t="s">
        <v>1058</v>
      </c>
      <c r="P651" t="s">
        <v>1079</v>
      </c>
      <c r="Q651">
        <v>2024</v>
      </c>
    </row>
    <row r="652" spans="1:17" x14ac:dyDescent="0.25">
      <c r="A652" s="1" t="s">
        <v>862</v>
      </c>
      <c r="B652" s="3">
        <v>45713</v>
      </c>
      <c r="C652" s="1" t="s">
        <v>275</v>
      </c>
      <c r="D652" s="1" t="s">
        <v>15</v>
      </c>
      <c r="E652" s="1" t="s">
        <v>45</v>
      </c>
      <c r="F652" s="2">
        <v>18.98</v>
      </c>
      <c r="G652" s="2" t="s">
        <v>17</v>
      </c>
      <c r="H652" s="2">
        <v>98</v>
      </c>
      <c r="I652" s="2">
        <v>1860.46</v>
      </c>
      <c r="J652" s="2" t="s">
        <v>63</v>
      </c>
      <c r="K652" s="2" t="s">
        <v>19</v>
      </c>
      <c r="L652" s="2" t="s">
        <v>47</v>
      </c>
      <c r="M652" s="2" t="s">
        <v>85</v>
      </c>
      <c r="N652" s="2" t="s">
        <v>1060</v>
      </c>
      <c r="O652" s="2" t="s">
        <v>1053</v>
      </c>
      <c r="P652" t="s">
        <v>1079</v>
      </c>
      <c r="Q652">
        <v>2025</v>
      </c>
    </row>
    <row r="653" spans="1:17" x14ac:dyDescent="0.25">
      <c r="A653" s="1" t="s">
        <v>863</v>
      </c>
      <c r="B653" s="3">
        <v>45840</v>
      </c>
      <c r="C653" s="1" t="s">
        <v>190</v>
      </c>
      <c r="D653" s="1" t="s">
        <v>55</v>
      </c>
      <c r="E653" s="1" t="s">
        <v>16</v>
      </c>
      <c r="F653" s="2">
        <v>426.63</v>
      </c>
      <c r="G653" s="2" t="s">
        <v>79</v>
      </c>
      <c r="H653" s="2">
        <v>10</v>
      </c>
      <c r="I653" s="2">
        <v>4266.29</v>
      </c>
      <c r="J653" s="2" t="s">
        <v>18</v>
      </c>
      <c r="K653" s="2" t="s">
        <v>19</v>
      </c>
      <c r="L653" s="2" t="s">
        <v>41</v>
      </c>
      <c r="M653" s="2" t="s">
        <v>76</v>
      </c>
      <c r="N653" s="2" t="s">
        <v>1052</v>
      </c>
      <c r="O653" s="2" t="s">
        <v>1059</v>
      </c>
      <c r="P653" t="s">
        <v>1078</v>
      </c>
      <c r="Q653">
        <v>2025</v>
      </c>
    </row>
    <row r="654" spans="1:17" x14ac:dyDescent="0.25">
      <c r="A654" s="1" t="s">
        <v>864</v>
      </c>
      <c r="B654" s="3">
        <v>45785</v>
      </c>
      <c r="C654" s="1" t="s">
        <v>201</v>
      </c>
      <c r="D654" s="1" t="s">
        <v>39</v>
      </c>
      <c r="E654" s="1" t="s">
        <v>67</v>
      </c>
      <c r="F654" s="2">
        <v>74.84</v>
      </c>
      <c r="G654" s="2" t="s">
        <v>40</v>
      </c>
      <c r="H654" s="2">
        <v>12</v>
      </c>
      <c r="I654" s="2">
        <v>898.13</v>
      </c>
      <c r="J654" s="2" t="s">
        <v>18</v>
      </c>
      <c r="K654" s="2" t="s">
        <v>19</v>
      </c>
      <c r="L654" s="2" t="s">
        <v>27</v>
      </c>
      <c r="M654" s="2" t="s">
        <v>59</v>
      </c>
      <c r="N654" s="2" t="s">
        <v>1057</v>
      </c>
      <c r="O654" s="2" t="s">
        <v>1047</v>
      </c>
      <c r="P654" t="s">
        <v>1079</v>
      </c>
      <c r="Q654">
        <v>2025</v>
      </c>
    </row>
    <row r="655" spans="1:17" hidden="1" x14ac:dyDescent="0.25">
      <c r="A655" s="1" t="s">
        <v>865</v>
      </c>
      <c r="B655" s="3">
        <v>45466</v>
      </c>
      <c r="C655" s="1" t="s">
        <v>290</v>
      </c>
      <c r="D655" s="1" t="s">
        <v>31</v>
      </c>
      <c r="E655" s="1" t="s">
        <v>71</v>
      </c>
      <c r="F655" s="2">
        <v>72.81</v>
      </c>
      <c r="G655" s="2" t="s">
        <v>32</v>
      </c>
      <c r="H655" s="2">
        <v>16</v>
      </c>
      <c r="I655" s="2">
        <v>1165</v>
      </c>
      <c r="J655" s="2" t="s">
        <v>18</v>
      </c>
      <c r="K655" s="2" t="s">
        <v>19</v>
      </c>
      <c r="L655" s="2" t="s">
        <v>47</v>
      </c>
      <c r="M655" s="2" t="s">
        <v>85</v>
      </c>
      <c r="N655" s="2" t="s">
        <v>1062</v>
      </c>
      <c r="O655" s="2" t="s">
        <v>1055</v>
      </c>
      <c r="P655" t="s">
        <v>1079</v>
      </c>
      <c r="Q655">
        <v>2024</v>
      </c>
    </row>
    <row r="656" spans="1:17" hidden="1" x14ac:dyDescent="0.25">
      <c r="A656" s="1" t="s">
        <v>866</v>
      </c>
      <c r="B656" s="3">
        <v>45430</v>
      </c>
      <c r="C656" s="1" t="s">
        <v>58</v>
      </c>
      <c r="D656" s="1" t="s">
        <v>39</v>
      </c>
      <c r="E656" s="1" t="s">
        <v>16</v>
      </c>
      <c r="F656" s="2">
        <v>258.95</v>
      </c>
      <c r="G656" s="2" t="s">
        <v>40</v>
      </c>
      <c r="H656" s="2">
        <v>13</v>
      </c>
      <c r="I656" s="2">
        <v>3366.33</v>
      </c>
      <c r="J656" s="2" t="s">
        <v>18</v>
      </c>
      <c r="K656" s="2" t="s">
        <v>19</v>
      </c>
      <c r="L656" s="2" t="s">
        <v>35</v>
      </c>
      <c r="M656" s="2" t="s">
        <v>36</v>
      </c>
      <c r="N656" s="2" t="s">
        <v>1057</v>
      </c>
      <c r="O656" s="2" t="s">
        <v>1063</v>
      </c>
      <c r="P656" t="s">
        <v>1079</v>
      </c>
      <c r="Q656">
        <v>2024</v>
      </c>
    </row>
    <row r="657" spans="1:17" hidden="1" x14ac:dyDescent="0.25">
      <c r="A657" s="1" t="s">
        <v>867</v>
      </c>
      <c r="B657" s="3">
        <v>45639</v>
      </c>
      <c r="C657" s="1" t="s">
        <v>868</v>
      </c>
      <c r="D657" s="1" t="s">
        <v>55</v>
      </c>
      <c r="E657" s="1" t="s">
        <v>45</v>
      </c>
      <c r="F657" s="2">
        <v>115.04</v>
      </c>
      <c r="G657" s="2" t="s">
        <v>79</v>
      </c>
      <c r="H657" s="2">
        <v>11</v>
      </c>
      <c r="I657" s="2">
        <v>1265.48</v>
      </c>
      <c r="J657" s="2" t="s">
        <v>18</v>
      </c>
      <c r="K657" s="2" t="s">
        <v>19</v>
      </c>
      <c r="L657" s="2" t="s">
        <v>41</v>
      </c>
      <c r="M657" s="2" t="s">
        <v>76</v>
      </c>
      <c r="N657" s="2" t="s">
        <v>1061</v>
      </c>
      <c r="O657" s="2" t="s">
        <v>1058</v>
      </c>
      <c r="P657" t="s">
        <v>1079</v>
      </c>
      <c r="Q657">
        <v>2024</v>
      </c>
    </row>
    <row r="658" spans="1:17" x14ac:dyDescent="0.25">
      <c r="A658" s="1" t="s">
        <v>869</v>
      </c>
      <c r="B658" s="3">
        <v>45849</v>
      </c>
      <c r="C658" s="1" t="s">
        <v>453</v>
      </c>
      <c r="D658" s="1" t="s">
        <v>31</v>
      </c>
      <c r="E658" s="1" t="s">
        <v>45</v>
      </c>
      <c r="F658" s="2">
        <v>155</v>
      </c>
      <c r="G658" s="2" t="s">
        <v>98</v>
      </c>
      <c r="H658" s="2">
        <v>11</v>
      </c>
      <c r="I658" s="2">
        <v>1705</v>
      </c>
      <c r="J658" s="2" t="s">
        <v>18</v>
      </c>
      <c r="K658" s="2" t="s">
        <v>19</v>
      </c>
      <c r="L658" s="2" t="s">
        <v>35</v>
      </c>
      <c r="M658" s="2" t="s">
        <v>126</v>
      </c>
      <c r="N658" s="2" t="s">
        <v>1052</v>
      </c>
      <c r="O658" s="2" t="s">
        <v>1058</v>
      </c>
      <c r="P658" t="s">
        <v>1079</v>
      </c>
      <c r="Q658">
        <v>2025</v>
      </c>
    </row>
    <row r="659" spans="1:17" hidden="1" x14ac:dyDescent="0.25">
      <c r="A659" s="1" t="s">
        <v>870</v>
      </c>
      <c r="B659" s="3">
        <v>45467</v>
      </c>
      <c r="C659" s="1" t="s">
        <v>871</v>
      </c>
      <c r="D659" s="1" t="s">
        <v>24</v>
      </c>
      <c r="E659" s="1" t="s">
        <v>67</v>
      </c>
      <c r="F659" s="2">
        <v>141.06</v>
      </c>
      <c r="G659" s="2" t="s">
        <v>170</v>
      </c>
      <c r="H659" s="2">
        <v>16</v>
      </c>
      <c r="I659" s="2">
        <v>2256.89</v>
      </c>
      <c r="J659" s="2" t="s">
        <v>63</v>
      </c>
      <c r="K659" s="2" t="s">
        <v>19</v>
      </c>
      <c r="L659" s="2" t="s">
        <v>47</v>
      </c>
      <c r="M659" s="2" t="s">
        <v>153</v>
      </c>
      <c r="N659" s="2" t="s">
        <v>1062</v>
      </c>
      <c r="O659" s="2" t="s">
        <v>1056</v>
      </c>
      <c r="P659" t="s">
        <v>1079</v>
      </c>
      <c r="Q659">
        <v>2024</v>
      </c>
    </row>
    <row r="660" spans="1:17" x14ac:dyDescent="0.25">
      <c r="A660" s="1" t="s">
        <v>872</v>
      </c>
      <c r="B660" s="3">
        <v>45695</v>
      </c>
      <c r="C660" s="1" t="s">
        <v>207</v>
      </c>
      <c r="D660" s="1" t="s">
        <v>24</v>
      </c>
      <c r="E660" s="1" t="s">
        <v>71</v>
      </c>
      <c r="F660" s="2">
        <v>256.22000000000003</v>
      </c>
      <c r="G660" s="2" t="s">
        <v>170</v>
      </c>
      <c r="H660" s="2">
        <v>9</v>
      </c>
      <c r="I660" s="2">
        <v>2306</v>
      </c>
      <c r="J660" s="2" t="s">
        <v>18</v>
      </c>
      <c r="K660" s="2" t="s">
        <v>34</v>
      </c>
      <c r="L660" s="2" t="s">
        <v>47</v>
      </c>
      <c r="M660" s="2" t="s">
        <v>48</v>
      </c>
      <c r="N660" s="2" t="s">
        <v>1060</v>
      </c>
      <c r="O660" s="2" t="s">
        <v>1058</v>
      </c>
      <c r="P660" t="s">
        <v>1079</v>
      </c>
      <c r="Q660">
        <v>2025</v>
      </c>
    </row>
    <row r="661" spans="1:17" hidden="1" x14ac:dyDescent="0.25">
      <c r="A661" s="1" t="s">
        <v>873</v>
      </c>
      <c r="B661" s="3">
        <v>45549</v>
      </c>
      <c r="C661" s="1" t="s">
        <v>50</v>
      </c>
      <c r="D661" s="1" t="s">
        <v>55</v>
      </c>
      <c r="E661" s="1" t="s">
        <v>16</v>
      </c>
      <c r="F661" s="2">
        <v>264.02999999999997</v>
      </c>
      <c r="G661" s="2" t="s">
        <v>79</v>
      </c>
      <c r="H661" s="2">
        <v>11</v>
      </c>
      <c r="I661" s="2">
        <v>2904.32</v>
      </c>
      <c r="J661" s="2" t="s">
        <v>63</v>
      </c>
      <c r="K661" s="2" t="s">
        <v>19</v>
      </c>
      <c r="L661" s="2" t="s">
        <v>27</v>
      </c>
      <c r="M661" s="2" t="s">
        <v>59</v>
      </c>
      <c r="N661" s="2" t="s">
        <v>1049</v>
      </c>
      <c r="O661" s="2" t="s">
        <v>1063</v>
      </c>
      <c r="P661" t="s">
        <v>1079</v>
      </c>
      <c r="Q661">
        <v>2024</v>
      </c>
    </row>
    <row r="662" spans="1:17" x14ac:dyDescent="0.25">
      <c r="A662" s="1" t="s">
        <v>874</v>
      </c>
      <c r="B662" s="3">
        <v>45850</v>
      </c>
      <c r="C662" s="1" t="s">
        <v>407</v>
      </c>
      <c r="D662" s="1" t="s">
        <v>39</v>
      </c>
      <c r="E662" s="1" t="s">
        <v>25</v>
      </c>
      <c r="F662" s="2">
        <v>1563.43</v>
      </c>
      <c r="G662" s="2" t="s">
        <v>1083</v>
      </c>
      <c r="H662" s="2">
        <v>1</v>
      </c>
      <c r="I662" s="2">
        <v>1563.43</v>
      </c>
      <c r="J662" s="2" t="s">
        <v>63</v>
      </c>
      <c r="K662" s="2" t="s">
        <v>34</v>
      </c>
      <c r="L662" s="2" t="s">
        <v>27</v>
      </c>
      <c r="M662" s="2" t="s">
        <v>161</v>
      </c>
      <c r="N662" s="2" t="s">
        <v>1052</v>
      </c>
      <c r="O662" s="2" t="s">
        <v>1063</v>
      </c>
      <c r="P662" t="s">
        <v>1079</v>
      </c>
      <c r="Q662">
        <v>2025</v>
      </c>
    </row>
    <row r="663" spans="1:17" hidden="1" x14ac:dyDescent="0.25">
      <c r="A663" s="1" t="s">
        <v>875</v>
      </c>
      <c r="B663" s="3">
        <v>45372</v>
      </c>
      <c r="C663" s="1" t="s">
        <v>353</v>
      </c>
      <c r="D663" s="1" t="s">
        <v>39</v>
      </c>
      <c r="E663" s="1" t="s">
        <v>71</v>
      </c>
      <c r="F663" s="2">
        <v>227.49</v>
      </c>
      <c r="G663" s="2" t="s">
        <v>72</v>
      </c>
      <c r="H663" s="2">
        <v>9</v>
      </c>
      <c r="I663" s="2">
        <v>2047.37</v>
      </c>
      <c r="J663" s="2" t="s">
        <v>18</v>
      </c>
      <c r="K663" s="2" t="s">
        <v>34</v>
      </c>
      <c r="L663" s="2" t="s">
        <v>27</v>
      </c>
      <c r="M663" s="2" t="s">
        <v>59</v>
      </c>
      <c r="N663" s="2" t="s">
        <v>1054</v>
      </c>
      <c r="O663" s="2" t="s">
        <v>1047</v>
      </c>
      <c r="P663" t="s">
        <v>1079</v>
      </c>
      <c r="Q663">
        <v>2024</v>
      </c>
    </row>
    <row r="664" spans="1:17" x14ac:dyDescent="0.25">
      <c r="A664" s="1" t="s">
        <v>876</v>
      </c>
      <c r="B664" s="3">
        <v>45694</v>
      </c>
      <c r="C664" s="1" t="s">
        <v>147</v>
      </c>
      <c r="D664" s="1" t="s">
        <v>24</v>
      </c>
      <c r="E664" s="1" t="s">
        <v>45</v>
      </c>
      <c r="F664" s="2">
        <v>424.93</v>
      </c>
      <c r="G664" s="2" t="s">
        <v>26</v>
      </c>
      <c r="H664" s="2">
        <v>12</v>
      </c>
      <c r="I664" s="2">
        <v>5099.17</v>
      </c>
      <c r="J664" s="2" t="s">
        <v>18</v>
      </c>
      <c r="K664" s="2" t="s">
        <v>19</v>
      </c>
      <c r="L664" s="2" t="s">
        <v>35</v>
      </c>
      <c r="M664" s="2" t="s">
        <v>126</v>
      </c>
      <c r="N664" s="2" t="s">
        <v>1060</v>
      </c>
      <c r="O664" s="2" t="s">
        <v>1047</v>
      </c>
      <c r="P664" t="s">
        <v>1078</v>
      </c>
      <c r="Q664">
        <v>2025</v>
      </c>
    </row>
    <row r="665" spans="1:17" x14ac:dyDescent="0.25">
      <c r="A665" s="1" t="s">
        <v>877</v>
      </c>
      <c r="B665" s="3">
        <v>45849</v>
      </c>
      <c r="C665" s="1" t="s">
        <v>196</v>
      </c>
      <c r="D665" s="1" t="s">
        <v>55</v>
      </c>
      <c r="E665" s="1" t="s">
        <v>67</v>
      </c>
      <c r="F665" s="2">
        <v>119.52</v>
      </c>
      <c r="G665" s="2" t="s">
        <v>79</v>
      </c>
      <c r="H665" s="2">
        <v>14</v>
      </c>
      <c r="I665" s="2">
        <v>1673.21</v>
      </c>
      <c r="J665" s="2" t="s">
        <v>18</v>
      </c>
      <c r="K665" s="2" t="s">
        <v>19</v>
      </c>
      <c r="L665" s="2" t="s">
        <v>27</v>
      </c>
      <c r="M665" s="2" t="s">
        <v>28</v>
      </c>
      <c r="N665" s="2" t="s">
        <v>1052</v>
      </c>
      <c r="O665" s="2" t="s">
        <v>1058</v>
      </c>
      <c r="P665" t="s">
        <v>1079</v>
      </c>
      <c r="Q665">
        <v>2025</v>
      </c>
    </row>
    <row r="666" spans="1:17" hidden="1" x14ac:dyDescent="0.25">
      <c r="A666" s="1" t="s">
        <v>878</v>
      </c>
      <c r="B666" s="3">
        <v>45357</v>
      </c>
      <c r="C666" s="1" t="s">
        <v>152</v>
      </c>
      <c r="D666" s="1" t="s">
        <v>55</v>
      </c>
      <c r="E666" s="1" t="s">
        <v>71</v>
      </c>
      <c r="F666" s="2">
        <v>102.88</v>
      </c>
      <c r="G666" s="2" t="s">
        <v>148</v>
      </c>
      <c r="H666" s="2">
        <v>17</v>
      </c>
      <c r="I666" s="2">
        <v>166.2715</v>
      </c>
      <c r="J666" s="2" t="s">
        <v>18</v>
      </c>
      <c r="K666" s="2" t="s">
        <v>19</v>
      </c>
      <c r="L666" s="2" t="s">
        <v>41</v>
      </c>
      <c r="M666" s="2" t="s">
        <v>141</v>
      </c>
      <c r="N666" s="2" t="s">
        <v>1054</v>
      </c>
      <c r="O666" s="2" t="s">
        <v>1059</v>
      </c>
      <c r="P666" t="s">
        <v>1079</v>
      </c>
      <c r="Q666">
        <v>2024</v>
      </c>
    </row>
    <row r="667" spans="1:17" hidden="1" x14ac:dyDescent="0.25">
      <c r="A667" s="1" t="s">
        <v>879</v>
      </c>
      <c r="B667" s="3">
        <v>45306</v>
      </c>
      <c r="C667" s="1" t="s">
        <v>681</v>
      </c>
      <c r="D667" s="1" t="s">
        <v>15</v>
      </c>
      <c r="E667" s="1" t="s">
        <v>25</v>
      </c>
      <c r="F667" s="2">
        <v>217.42</v>
      </c>
      <c r="G667" s="2" t="s">
        <v>51</v>
      </c>
      <c r="H667" s="2">
        <v>8</v>
      </c>
      <c r="I667" s="2">
        <v>1739.38</v>
      </c>
      <c r="J667" s="2" t="s">
        <v>63</v>
      </c>
      <c r="K667" s="2" t="s">
        <v>34</v>
      </c>
      <c r="L667" s="2" t="s">
        <v>27</v>
      </c>
      <c r="M667" s="2" t="s">
        <v>28</v>
      </c>
      <c r="N667" s="2" t="s">
        <v>1050</v>
      </c>
      <c r="O667" s="2" t="s">
        <v>1056</v>
      </c>
      <c r="P667" t="s">
        <v>1079</v>
      </c>
      <c r="Q667">
        <v>2024</v>
      </c>
    </row>
    <row r="668" spans="1:17" hidden="1" x14ac:dyDescent="0.25">
      <c r="A668" s="1" t="s">
        <v>880</v>
      </c>
      <c r="B668" s="3">
        <v>45421</v>
      </c>
      <c r="C668" s="1" t="s">
        <v>184</v>
      </c>
      <c r="D668" s="1" t="s">
        <v>31</v>
      </c>
      <c r="E668" s="1" t="s">
        <v>25</v>
      </c>
      <c r="F668" s="2">
        <v>190.25</v>
      </c>
      <c r="G668" s="2" t="s">
        <v>32</v>
      </c>
      <c r="H668" s="2">
        <v>13</v>
      </c>
      <c r="I668" s="2">
        <v>2473.29</v>
      </c>
      <c r="J668" s="2" t="s">
        <v>63</v>
      </c>
      <c r="K668" s="2" t="s">
        <v>19</v>
      </c>
      <c r="L668" s="2" t="s">
        <v>47</v>
      </c>
      <c r="M668" s="2" t="s">
        <v>85</v>
      </c>
      <c r="N668" s="2" t="s">
        <v>1057</v>
      </c>
      <c r="O668" s="2" t="s">
        <v>1047</v>
      </c>
      <c r="P668" t="s">
        <v>1079</v>
      </c>
      <c r="Q668">
        <v>2024</v>
      </c>
    </row>
    <row r="669" spans="1:17" x14ac:dyDescent="0.25">
      <c r="A669" s="1" t="s">
        <v>881</v>
      </c>
      <c r="B669" s="3">
        <v>45887</v>
      </c>
      <c r="C669" s="1" t="s">
        <v>237</v>
      </c>
      <c r="D669" s="1" t="s">
        <v>55</v>
      </c>
      <c r="E669" s="1" t="s">
        <v>25</v>
      </c>
      <c r="F669" s="2">
        <v>264.16000000000003</v>
      </c>
      <c r="G669" s="2" t="s">
        <v>148</v>
      </c>
      <c r="H669" s="2">
        <v>16</v>
      </c>
      <c r="I669" s="2">
        <v>4226.5600000000004</v>
      </c>
      <c r="J669" s="2" t="s">
        <v>18</v>
      </c>
      <c r="K669" s="2" t="s">
        <v>19</v>
      </c>
      <c r="L669" s="2" t="s">
        <v>41</v>
      </c>
      <c r="M669" s="2" t="s">
        <v>76</v>
      </c>
      <c r="N669" s="2" t="s">
        <v>1051</v>
      </c>
      <c r="O669" s="2" t="s">
        <v>1056</v>
      </c>
      <c r="P669" t="s">
        <v>1078</v>
      </c>
      <c r="Q669">
        <v>2025</v>
      </c>
    </row>
    <row r="670" spans="1:17" x14ac:dyDescent="0.25">
      <c r="A670" s="1" t="s">
        <v>882</v>
      </c>
      <c r="B670" s="3">
        <v>45797</v>
      </c>
      <c r="C670" s="1" t="s">
        <v>360</v>
      </c>
      <c r="D670" s="1" t="s">
        <v>55</v>
      </c>
      <c r="E670" s="1" t="s">
        <v>25</v>
      </c>
      <c r="F670" s="2">
        <v>126.02</v>
      </c>
      <c r="G670" s="2" t="s">
        <v>56</v>
      </c>
      <c r="H670" s="2">
        <v>6</v>
      </c>
      <c r="I670" s="2">
        <v>756.14</v>
      </c>
      <c r="J670" s="2" t="s">
        <v>63</v>
      </c>
      <c r="K670" s="2" t="s">
        <v>34</v>
      </c>
      <c r="L670" s="2" t="s">
        <v>27</v>
      </c>
      <c r="M670" s="2" t="s">
        <v>59</v>
      </c>
      <c r="N670" s="2" t="s">
        <v>1057</v>
      </c>
      <c r="O670" s="2" t="s">
        <v>1053</v>
      </c>
      <c r="P670" t="s">
        <v>1079</v>
      </c>
      <c r="Q670">
        <v>2025</v>
      </c>
    </row>
    <row r="671" spans="1:17" hidden="1" x14ac:dyDescent="0.25">
      <c r="A671" s="1" t="s">
        <v>883</v>
      </c>
      <c r="B671" s="3">
        <v>45622</v>
      </c>
      <c r="C671" s="1" t="s">
        <v>884</v>
      </c>
      <c r="D671" s="1" t="s">
        <v>15</v>
      </c>
      <c r="E671" s="1" t="s">
        <v>45</v>
      </c>
      <c r="F671" s="2">
        <v>41.89</v>
      </c>
      <c r="G671" s="2" t="s">
        <v>62</v>
      </c>
      <c r="H671" s="2">
        <v>15</v>
      </c>
      <c r="I671" s="2">
        <v>628.39</v>
      </c>
      <c r="J671" s="2" t="s">
        <v>18</v>
      </c>
      <c r="K671" s="2" t="s">
        <v>19</v>
      </c>
      <c r="L671" s="2" t="s">
        <v>47</v>
      </c>
      <c r="M671" s="2" t="s">
        <v>48</v>
      </c>
      <c r="N671" s="2" t="s">
        <v>1064</v>
      </c>
      <c r="O671" s="2" t="s">
        <v>1053</v>
      </c>
      <c r="P671" t="s">
        <v>1079</v>
      </c>
      <c r="Q671">
        <v>2024</v>
      </c>
    </row>
    <row r="672" spans="1:17" x14ac:dyDescent="0.25">
      <c r="A672" s="1" t="s">
        <v>885</v>
      </c>
      <c r="B672" s="3">
        <v>45759</v>
      </c>
      <c r="C672" s="1" t="s">
        <v>284</v>
      </c>
      <c r="D672" s="1" t="s">
        <v>15</v>
      </c>
      <c r="E672" s="1" t="s">
        <v>25</v>
      </c>
      <c r="F672" s="2">
        <v>394.5</v>
      </c>
      <c r="G672" s="2" t="s">
        <v>17</v>
      </c>
      <c r="H672" s="2">
        <v>14</v>
      </c>
      <c r="I672" s="2">
        <v>5523</v>
      </c>
      <c r="J672" s="2" t="s">
        <v>18</v>
      </c>
      <c r="K672" s="2" t="s">
        <v>19</v>
      </c>
      <c r="L672" s="2" t="s">
        <v>47</v>
      </c>
      <c r="M672" s="2" t="s">
        <v>153</v>
      </c>
      <c r="N672" s="2" t="s">
        <v>1048</v>
      </c>
      <c r="O672" s="2" t="s">
        <v>1063</v>
      </c>
      <c r="P672" t="s">
        <v>1078</v>
      </c>
      <c r="Q672">
        <v>2025</v>
      </c>
    </row>
    <row r="673" spans="1:17" hidden="1" x14ac:dyDescent="0.25">
      <c r="A673" s="1" t="s">
        <v>886</v>
      </c>
      <c r="B673" s="3">
        <v>45471</v>
      </c>
      <c r="C673" s="1" t="s">
        <v>108</v>
      </c>
      <c r="D673" s="1" t="s">
        <v>55</v>
      </c>
      <c r="E673" s="1" t="s">
        <v>16</v>
      </c>
      <c r="F673" s="2">
        <v>129.76</v>
      </c>
      <c r="G673" s="2" t="s">
        <v>148</v>
      </c>
      <c r="H673" s="2">
        <v>8</v>
      </c>
      <c r="I673" s="2">
        <v>1038.1099999999999</v>
      </c>
      <c r="J673" s="2" t="s">
        <v>18</v>
      </c>
      <c r="K673" s="2" t="s">
        <v>34</v>
      </c>
      <c r="L673" s="2" t="s">
        <v>27</v>
      </c>
      <c r="M673" s="2" t="s">
        <v>59</v>
      </c>
      <c r="N673" s="2" t="s">
        <v>1062</v>
      </c>
      <c r="O673" s="2" t="s">
        <v>1058</v>
      </c>
      <c r="P673" t="s">
        <v>1079</v>
      </c>
      <c r="Q673">
        <v>2024</v>
      </c>
    </row>
    <row r="674" spans="1:17" x14ac:dyDescent="0.25">
      <c r="A674" s="1" t="s">
        <v>887</v>
      </c>
      <c r="B674" s="3">
        <v>45783</v>
      </c>
      <c r="C674" s="1" t="s">
        <v>160</v>
      </c>
      <c r="D674" s="1" t="s">
        <v>55</v>
      </c>
      <c r="E674" s="1" t="s">
        <v>67</v>
      </c>
      <c r="F674" s="2">
        <v>173.26</v>
      </c>
      <c r="G674" s="2" t="s">
        <v>90</v>
      </c>
      <c r="H674" s="2">
        <v>17</v>
      </c>
      <c r="I674" s="2">
        <v>2945.48</v>
      </c>
      <c r="J674" s="2" t="s">
        <v>18</v>
      </c>
      <c r="K674" s="2" t="s">
        <v>19</v>
      </c>
      <c r="L674" s="2" t="s">
        <v>20</v>
      </c>
      <c r="M674" s="2" t="s">
        <v>21</v>
      </c>
      <c r="N674" s="2" t="s">
        <v>1057</v>
      </c>
      <c r="O674" s="2" t="s">
        <v>1053</v>
      </c>
      <c r="P674" t="s">
        <v>1079</v>
      </c>
      <c r="Q674">
        <v>2025</v>
      </c>
    </row>
    <row r="675" spans="1:17" hidden="1" x14ac:dyDescent="0.25">
      <c r="A675" s="1" t="s">
        <v>888</v>
      </c>
      <c r="B675" s="3">
        <v>45583</v>
      </c>
      <c r="C675" s="1" t="s">
        <v>74</v>
      </c>
      <c r="D675" s="1" t="s">
        <v>31</v>
      </c>
      <c r="E675" s="1" t="s">
        <v>71</v>
      </c>
      <c r="F675" s="2">
        <v>68.03</v>
      </c>
      <c r="G675" s="2" t="s">
        <v>32</v>
      </c>
      <c r="H675" s="2">
        <v>13</v>
      </c>
      <c r="I675" s="2">
        <v>884.42</v>
      </c>
      <c r="J675" s="2" t="s">
        <v>18</v>
      </c>
      <c r="K675" s="2" t="s">
        <v>19</v>
      </c>
      <c r="L675" s="2" t="s">
        <v>35</v>
      </c>
      <c r="M675" s="2" t="s">
        <v>52</v>
      </c>
      <c r="N675" s="2" t="s">
        <v>1046</v>
      </c>
      <c r="O675" s="2" t="s">
        <v>1058</v>
      </c>
      <c r="P675" t="s">
        <v>1079</v>
      </c>
      <c r="Q675">
        <v>2024</v>
      </c>
    </row>
    <row r="676" spans="1:17" x14ac:dyDescent="0.25">
      <c r="A676" s="1" t="s">
        <v>889</v>
      </c>
      <c r="B676" s="3">
        <v>45697</v>
      </c>
      <c r="C676" s="1" t="s">
        <v>290</v>
      </c>
      <c r="D676" s="1" t="s">
        <v>24</v>
      </c>
      <c r="E676" s="1" t="s">
        <v>25</v>
      </c>
      <c r="F676" s="2">
        <v>52.38</v>
      </c>
      <c r="G676" s="2" t="s">
        <v>68</v>
      </c>
      <c r="H676" s="2">
        <v>20</v>
      </c>
      <c r="I676" s="2">
        <v>1047.6300000000001</v>
      </c>
      <c r="J676" s="2" t="s">
        <v>18</v>
      </c>
      <c r="K676" s="2" t="s">
        <v>19</v>
      </c>
      <c r="L676" s="2" t="s">
        <v>35</v>
      </c>
      <c r="M676" s="2" t="s">
        <v>52</v>
      </c>
      <c r="N676" s="2" t="s">
        <v>1060</v>
      </c>
      <c r="O676" s="2" t="s">
        <v>1055</v>
      </c>
      <c r="P676" t="s">
        <v>1079</v>
      </c>
      <c r="Q676">
        <v>2025</v>
      </c>
    </row>
    <row r="677" spans="1:17" x14ac:dyDescent="0.25">
      <c r="A677" s="1" t="s">
        <v>890</v>
      </c>
      <c r="B677" s="3">
        <v>45689</v>
      </c>
      <c r="C677" s="1" t="s">
        <v>114</v>
      </c>
      <c r="D677" s="1" t="s">
        <v>55</v>
      </c>
      <c r="E677" s="1" t="s">
        <v>71</v>
      </c>
      <c r="F677" s="2">
        <v>47.77</v>
      </c>
      <c r="G677" s="2" t="s">
        <v>148</v>
      </c>
      <c r="H677" s="2">
        <v>14</v>
      </c>
      <c r="I677" s="2">
        <v>668.81</v>
      </c>
      <c r="J677" s="2" t="s">
        <v>18</v>
      </c>
      <c r="K677" s="2" t="s">
        <v>19</v>
      </c>
      <c r="L677" s="2" t="s">
        <v>41</v>
      </c>
      <c r="M677" s="2" t="s">
        <v>76</v>
      </c>
      <c r="N677" s="2" t="s">
        <v>1060</v>
      </c>
      <c r="O677" s="2" t="s">
        <v>1063</v>
      </c>
      <c r="P677" t="s">
        <v>1079</v>
      </c>
      <c r="Q677">
        <v>2025</v>
      </c>
    </row>
    <row r="678" spans="1:17" hidden="1" x14ac:dyDescent="0.25">
      <c r="A678" s="1" t="s">
        <v>891</v>
      </c>
      <c r="B678" s="3">
        <v>45464</v>
      </c>
      <c r="C678" s="1" t="s">
        <v>353</v>
      </c>
      <c r="D678" s="1" t="s">
        <v>55</v>
      </c>
      <c r="E678" s="1" t="s">
        <v>45</v>
      </c>
      <c r="F678" s="2">
        <v>115.02</v>
      </c>
      <c r="G678" s="2" t="s">
        <v>148</v>
      </c>
      <c r="H678" s="2">
        <v>19</v>
      </c>
      <c r="I678" s="2">
        <v>2185.44</v>
      </c>
      <c r="J678" s="2" t="s">
        <v>63</v>
      </c>
      <c r="K678" s="2" t="s">
        <v>19</v>
      </c>
      <c r="L678" s="2" t="s">
        <v>27</v>
      </c>
      <c r="M678" s="2" t="s">
        <v>161</v>
      </c>
      <c r="N678" s="2" t="s">
        <v>1062</v>
      </c>
      <c r="O678" s="2" t="s">
        <v>1058</v>
      </c>
      <c r="P678" t="s">
        <v>1079</v>
      </c>
      <c r="Q678">
        <v>2024</v>
      </c>
    </row>
    <row r="679" spans="1:17" hidden="1" x14ac:dyDescent="0.25">
      <c r="A679" s="1" t="s">
        <v>892</v>
      </c>
      <c r="B679" s="3">
        <v>45527</v>
      </c>
      <c r="C679" s="1" t="s">
        <v>439</v>
      </c>
      <c r="D679" s="1" t="s">
        <v>31</v>
      </c>
      <c r="E679" s="1" t="s">
        <v>45</v>
      </c>
      <c r="F679" s="2">
        <v>158.63</v>
      </c>
      <c r="G679" s="2" t="s">
        <v>32</v>
      </c>
      <c r="H679" s="2">
        <v>16</v>
      </c>
      <c r="I679" s="2">
        <v>2538.09</v>
      </c>
      <c r="J679" s="2" t="s">
        <v>18</v>
      </c>
      <c r="K679" s="2" t="s">
        <v>19</v>
      </c>
      <c r="L679" s="2" t="s">
        <v>47</v>
      </c>
      <c r="M679" s="2" t="s">
        <v>153</v>
      </c>
      <c r="N679" s="2" t="s">
        <v>1051</v>
      </c>
      <c r="O679" s="2" t="s">
        <v>1058</v>
      </c>
      <c r="P679" t="s">
        <v>1079</v>
      </c>
      <c r="Q679">
        <v>2024</v>
      </c>
    </row>
    <row r="680" spans="1:17" x14ac:dyDescent="0.25">
      <c r="A680" s="1" t="s">
        <v>893</v>
      </c>
      <c r="B680" s="3">
        <v>45684</v>
      </c>
      <c r="C680" s="1" t="s">
        <v>533</v>
      </c>
      <c r="D680" s="1" t="s">
        <v>15</v>
      </c>
      <c r="E680" s="1" t="s">
        <v>67</v>
      </c>
      <c r="F680" s="2">
        <v>340.05</v>
      </c>
      <c r="G680" s="2" t="s">
        <v>62</v>
      </c>
      <c r="H680" s="2">
        <v>11</v>
      </c>
      <c r="I680" s="2">
        <v>3740.56</v>
      </c>
      <c r="J680" s="2" t="s">
        <v>18</v>
      </c>
      <c r="K680" s="2" t="s">
        <v>19</v>
      </c>
      <c r="L680" s="2" t="s">
        <v>47</v>
      </c>
      <c r="M680" s="2" t="s">
        <v>48</v>
      </c>
      <c r="N680" s="2" t="s">
        <v>1050</v>
      </c>
      <c r="O680" s="2" t="s">
        <v>1056</v>
      </c>
      <c r="P680" t="s">
        <v>1079</v>
      </c>
      <c r="Q680">
        <v>2025</v>
      </c>
    </row>
    <row r="681" spans="1:17" x14ac:dyDescent="0.25">
      <c r="A681" s="1" t="s">
        <v>894</v>
      </c>
      <c r="B681" s="3">
        <v>45835</v>
      </c>
      <c r="C681" s="1" t="s">
        <v>110</v>
      </c>
      <c r="D681" s="1" t="s">
        <v>31</v>
      </c>
      <c r="E681" s="1" t="s">
        <v>16</v>
      </c>
      <c r="F681" s="2">
        <v>227.47</v>
      </c>
      <c r="G681" s="2" t="s">
        <v>31</v>
      </c>
      <c r="H681" s="2">
        <v>10</v>
      </c>
      <c r="I681" s="2">
        <v>2274.75</v>
      </c>
      <c r="J681" s="2" t="s">
        <v>63</v>
      </c>
      <c r="K681" s="2" t="s">
        <v>34</v>
      </c>
      <c r="L681" s="2" t="s">
        <v>41</v>
      </c>
      <c r="M681" s="2" t="s">
        <v>76</v>
      </c>
      <c r="N681" s="2" t="s">
        <v>1062</v>
      </c>
      <c r="O681" s="2" t="s">
        <v>1058</v>
      </c>
      <c r="P681" t="s">
        <v>1079</v>
      </c>
      <c r="Q681">
        <v>2025</v>
      </c>
    </row>
    <row r="682" spans="1:17" hidden="1" x14ac:dyDescent="0.25">
      <c r="A682" s="1" t="s">
        <v>895</v>
      </c>
      <c r="B682" s="3">
        <v>45373</v>
      </c>
      <c r="C682" s="1" t="s">
        <v>248</v>
      </c>
      <c r="D682" s="1" t="s">
        <v>24</v>
      </c>
      <c r="E682" s="1" t="s">
        <v>45</v>
      </c>
      <c r="F682" s="2">
        <v>108.34</v>
      </c>
      <c r="G682" s="2" t="s">
        <v>26</v>
      </c>
      <c r="H682" s="2">
        <v>20</v>
      </c>
      <c r="I682" s="2">
        <v>2166.7199999999998</v>
      </c>
      <c r="J682" s="2" t="s">
        <v>18</v>
      </c>
      <c r="K682" s="2" t="s">
        <v>19</v>
      </c>
      <c r="L682" s="2" t="s">
        <v>27</v>
      </c>
      <c r="M682" s="2" t="s">
        <v>28</v>
      </c>
      <c r="N682" s="2" t="s">
        <v>1054</v>
      </c>
      <c r="O682" s="2" t="s">
        <v>1058</v>
      </c>
      <c r="P682" t="s">
        <v>1079</v>
      </c>
      <c r="Q682">
        <v>2024</v>
      </c>
    </row>
    <row r="683" spans="1:17" hidden="1" x14ac:dyDescent="0.25">
      <c r="A683" s="1" t="s">
        <v>896</v>
      </c>
      <c r="B683" s="3">
        <v>45447</v>
      </c>
      <c r="C683" s="1" t="s">
        <v>110</v>
      </c>
      <c r="D683" s="1" t="s">
        <v>24</v>
      </c>
      <c r="E683" s="1" t="s">
        <v>71</v>
      </c>
      <c r="F683" s="2">
        <v>98.54</v>
      </c>
      <c r="G683" s="2" t="s">
        <v>170</v>
      </c>
      <c r="H683" s="2">
        <v>17</v>
      </c>
      <c r="I683" s="2">
        <v>1675.16</v>
      </c>
      <c r="J683" s="2" t="s">
        <v>18</v>
      </c>
      <c r="K683" s="2" t="s">
        <v>19</v>
      </c>
      <c r="L683" s="2" t="s">
        <v>35</v>
      </c>
      <c r="M683" s="2" t="s">
        <v>36</v>
      </c>
      <c r="N683" s="2" t="s">
        <v>1062</v>
      </c>
      <c r="O683" s="2" t="s">
        <v>1053</v>
      </c>
      <c r="P683" t="s">
        <v>1079</v>
      </c>
      <c r="Q683">
        <v>2024</v>
      </c>
    </row>
    <row r="684" spans="1:17" hidden="1" x14ac:dyDescent="0.25">
      <c r="A684" s="1" t="s">
        <v>897</v>
      </c>
      <c r="B684" s="3">
        <v>45411</v>
      </c>
      <c r="C684" s="1" t="s">
        <v>279</v>
      </c>
      <c r="D684" s="1" t="s">
        <v>39</v>
      </c>
      <c r="E684" s="1" t="s">
        <v>67</v>
      </c>
      <c r="F684" s="2">
        <v>9.1999999999999993</v>
      </c>
      <c r="G684" s="2" t="s">
        <v>40</v>
      </c>
      <c r="H684" s="2">
        <v>61</v>
      </c>
      <c r="I684" s="2">
        <v>561.38</v>
      </c>
      <c r="J684" s="2" t="s">
        <v>18</v>
      </c>
      <c r="K684" s="2" t="s">
        <v>19</v>
      </c>
      <c r="L684" s="2" t="s">
        <v>35</v>
      </c>
      <c r="M684" s="2" t="s">
        <v>36</v>
      </c>
      <c r="N684" s="2" t="s">
        <v>1048</v>
      </c>
      <c r="O684" s="2" t="s">
        <v>1056</v>
      </c>
      <c r="P684" t="s">
        <v>1079</v>
      </c>
      <c r="Q684">
        <v>2024</v>
      </c>
    </row>
    <row r="685" spans="1:17" x14ac:dyDescent="0.25">
      <c r="A685" s="1" t="s">
        <v>898</v>
      </c>
      <c r="B685" s="3">
        <v>45844</v>
      </c>
      <c r="C685" s="1" t="s">
        <v>899</v>
      </c>
      <c r="D685" s="1" t="s">
        <v>31</v>
      </c>
      <c r="E685" s="1" t="s">
        <v>45</v>
      </c>
      <c r="F685" s="2">
        <v>74.489999999999995</v>
      </c>
      <c r="G685" s="2" t="s">
        <v>46</v>
      </c>
      <c r="H685" s="2">
        <v>12</v>
      </c>
      <c r="I685" s="2">
        <v>893.88</v>
      </c>
      <c r="J685" s="2" t="s">
        <v>18</v>
      </c>
      <c r="K685" s="2" t="s">
        <v>19</v>
      </c>
      <c r="L685" s="2" t="s">
        <v>27</v>
      </c>
      <c r="M685" s="2" t="s">
        <v>59</v>
      </c>
      <c r="N685" s="2" t="s">
        <v>1052</v>
      </c>
      <c r="O685" s="2" t="s">
        <v>1055</v>
      </c>
      <c r="P685" t="s">
        <v>1079</v>
      </c>
      <c r="Q685">
        <v>2025</v>
      </c>
    </row>
    <row r="686" spans="1:17" x14ac:dyDescent="0.25">
      <c r="A686" s="1" t="s">
        <v>900</v>
      </c>
      <c r="B686" s="3">
        <v>45845</v>
      </c>
      <c r="C686" s="1" t="s">
        <v>901</v>
      </c>
      <c r="D686" s="1" t="s">
        <v>31</v>
      </c>
      <c r="E686" s="1" t="s">
        <v>16</v>
      </c>
      <c r="F686" s="2">
        <v>1108.71</v>
      </c>
      <c r="G686" s="2" t="s">
        <v>32</v>
      </c>
      <c r="H686" s="2">
        <v>1</v>
      </c>
      <c r="I686" s="2">
        <v>1108.71</v>
      </c>
      <c r="J686" s="2" t="s">
        <v>63</v>
      </c>
      <c r="K686" s="2" t="s">
        <v>34</v>
      </c>
      <c r="L686" s="2" t="s">
        <v>47</v>
      </c>
      <c r="M686" s="2" t="s">
        <v>48</v>
      </c>
      <c r="N686" s="2" t="s">
        <v>1052</v>
      </c>
      <c r="O686" s="2" t="s">
        <v>1056</v>
      </c>
      <c r="P686" t="s">
        <v>1079</v>
      </c>
      <c r="Q686">
        <v>2025</v>
      </c>
    </row>
    <row r="687" spans="1:17" hidden="1" x14ac:dyDescent="0.25">
      <c r="A687" s="1" t="s">
        <v>902</v>
      </c>
      <c r="B687" s="3">
        <v>45459</v>
      </c>
      <c r="C687" s="1" t="s">
        <v>104</v>
      </c>
      <c r="D687" s="1" t="s">
        <v>15</v>
      </c>
      <c r="E687" s="1" t="s">
        <v>25</v>
      </c>
      <c r="F687" s="2">
        <v>2312.73</v>
      </c>
      <c r="G687" s="2" t="s">
        <v>51</v>
      </c>
      <c r="H687" s="2">
        <v>1</v>
      </c>
      <c r="I687" s="2">
        <v>2312.73</v>
      </c>
      <c r="J687" s="2" t="s">
        <v>18</v>
      </c>
      <c r="K687" s="2" t="s">
        <v>34</v>
      </c>
      <c r="L687" s="2" t="s">
        <v>47</v>
      </c>
      <c r="M687" s="2" t="s">
        <v>85</v>
      </c>
      <c r="N687" s="2" t="s">
        <v>1062</v>
      </c>
      <c r="O687" s="2" t="s">
        <v>1055</v>
      </c>
      <c r="P687" t="s">
        <v>1079</v>
      </c>
      <c r="Q687">
        <v>2024</v>
      </c>
    </row>
    <row r="688" spans="1:17" x14ac:dyDescent="0.25">
      <c r="A688" s="1" t="s">
        <v>903</v>
      </c>
      <c r="B688" s="3">
        <v>45739</v>
      </c>
      <c r="C688" s="1" t="s">
        <v>81</v>
      </c>
      <c r="D688" s="1" t="s">
        <v>31</v>
      </c>
      <c r="E688" s="1" t="s">
        <v>25</v>
      </c>
      <c r="F688" s="2">
        <v>331.99</v>
      </c>
      <c r="G688" s="2" t="s">
        <v>46</v>
      </c>
      <c r="H688" s="2">
        <v>11</v>
      </c>
      <c r="I688" s="2">
        <v>3651.94</v>
      </c>
      <c r="J688" s="2" t="s">
        <v>18</v>
      </c>
      <c r="K688" s="2" t="s">
        <v>19</v>
      </c>
      <c r="L688" s="2" t="s">
        <v>41</v>
      </c>
      <c r="M688" s="2" t="s">
        <v>42</v>
      </c>
      <c r="N688" s="2" t="s">
        <v>1054</v>
      </c>
      <c r="O688" s="2" t="s">
        <v>1055</v>
      </c>
      <c r="P688" t="s">
        <v>1079</v>
      </c>
      <c r="Q688">
        <v>2025</v>
      </c>
    </row>
    <row r="689" spans="1:17" x14ac:dyDescent="0.25">
      <c r="A689" s="1" t="s">
        <v>904</v>
      </c>
      <c r="B689" s="3">
        <v>45728</v>
      </c>
      <c r="C689" s="1" t="s">
        <v>351</v>
      </c>
      <c r="D689" s="1" t="s">
        <v>24</v>
      </c>
      <c r="E689" s="1" t="s">
        <v>45</v>
      </c>
      <c r="F689" s="2">
        <v>108.64</v>
      </c>
      <c r="G689" s="2" t="s">
        <v>75</v>
      </c>
      <c r="H689" s="2">
        <v>16</v>
      </c>
      <c r="I689" s="2">
        <v>1738.25</v>
      </c>
      <c r="J689" s="2" t="s">
        <v>63</v>
      </c>
      <c r="K689" s="2" t="s">
        <v>19</v>
      </c>
      <c r="L689" s="2" t="s">
        <v>20</v>
      </c>
      <c r="M689" s="2" t="s">
        <v>21</v>
      </c>
      <c r="N689" s="2" t="s">
        <v>1054</v>
      </c>
      <c r="O689" s="2" t="s">
        <v>1059</v>
      </c>
      <c r="P689" t="s">
        <v>1079</v>
      </c>
      <c r="Q689">
        <v>2025</v>
      </c>
    </row>
    <row r="690" spans="1:17" hidden="1" x14ac:dyDescent="0.25">
      <c r="A690" s="1" t="s">
        <v>905</v>
      </c>
      <c r="B690" s="3">
        <v>45466</v>
      </c>
      <c r="C690" s="1" t="s">
        <v>906</v>
      </c>
      <c r="D690" s="1" t="s">
        <v>55</v>
      </c>
      <c r="E690" s="1" t="s">
        <v>67</v>
      </c>
      <c r="F690" s="2">
        <v>58.92</v>
      </c>
      <c r="G690" s="2" t="s">
        <v>56</v>
      </c>
      <c r="H690" s="2">
        <v>12</v>
      </c>
      <c r="I690" s="2">
        <v>707</v>
      </c>
      <c r="J690" s="2" t="s">
        <v>18</v>
      </c>
      <c r="K690" s="2" t="s">
        <v>19</v>
      </c>
      <c r="L690" s="2" t="s">
        <v>27</v>
      </c>
      <c r="M690" s="2" t="s">
        <v>161</v>
      </c>
      <c r="N690" s="2" t="s">
        <v>1062</v>
      </c>
      <c r="O690" s="2" t="s">
        <v>1055</v>
      </c>
      <c r="P690" t="s">
        <v>1079</v>
      </c>
      <c r="Q690">
        <v>2024</v>
      </c>
    </row>
    <row r="691" spans="1:17" hidden="1" x14ac:dyDescent="0.25">
      <c r="A691" s="1" t="s">
        <v>907</v>
      </c>
      <c r="B691" s="3">
        <v>45401</v>
      </c>
      <c r="C691" s="1" t="s">
        <v>114</v>
      </c>
      <c r="D691" s="1" t="s">
        <v>55</v>
      </c>
      <c r="E691" s="1" t="s">
        <v>25</v>
      </c>
      <c r="F691" s="2">
        <v>14.1</v>
      </c>
      <c r="G691" s="2" t="s">
        <v>56</v>
      </c>
      <c r="H691" s="2">
        <v>71</v>
      </c>
      <c r="I691" s="2">
        <v>1001</v>
      </c>
      <c r="J691" s="2" t="s">
        <v>63</v>
      </c>
      <c r="K691" s="2" t="s">
        <v>19</v>
      </c>
      <c r="L691" s="2" t="s">
        <v>47</v>
      </c>
      <c r="M691" s="2" t="s">
        <v>85</v>
      </c>
      <c r="N691" s="2" t="s">
        <v>1048</v>
      </c>
      <c r="O691" s="2" t="s">
        <v>1058</v>
      </c>
      <c r="P691" t="s">
        <v>1079</v>
      </c>
      <c r="Q691">
        <v>2024</v>
      </c>
    </row>
    <row r="692" spans="1:17" hidden="1" x14ac:dyDescent="0.25">
      <c r="A692" s="1" t="s">
        <v>908</v>
      </c>
      <c r="B692" s="3">
        <v>45383</v>
      </c>
      <c r="C692" s="1" t="s">
        <v>175</v>
      </c>
      <c r="D692" s="1" t="s">
        <v>31</v>
      </c>
      <c r="E692" s="1" t="s">
        <v>67</v>
      </c>
      <c r="F692" s="2">
        <v>101.66</v>
      </c>
      <c r="G692" s="2" t="s">
        <v>31</v>
      </c>
      <c r="H692" s="2">
        <v>10</v>
      </c>
      <c r="I692" s="2">
        <v>1016.55</v>
      </c>
      <c r="J692" s="2" t="s">
        <v>18</v>
      </c>
      <c r="K692" s="2" t="s">
        <v>34</v>
      </c>
      <c r="L692" s="2" t="s">
        <v>20</v>
      </c>
      <c r="M692" s="2" t="s">
        <v>21</v>
      </c>
      <c r="N692" s="2" t="s">
        <v>1048</v>
      </c>
      <c r="O692" s="2" t="s">
        <v>1056</v>
      </c>
      <c r="P692" t="s">
        <v>1079</v>
      </c>
      <c r="Q692">
        <v>2024</v>
      </c>
    </row>
    <row r="693" spans="1:17" hidden="1" x14ac:dyDescent="0.25">
      <c r="A693" s="1" t="s">
        <v>909</v>
      </c>
      <c r="B693" s="3">
        <v>45476</v>
      </c>
      <c r="C693" s="1" t="s">
        <v>348</v>
      </c>
      <c r="D693" s="1" t="s">
        <v>31</v>
      </c>
      <c r="E693" s="1" t="s">
        <v>71</v>
      </c>
      <c r="F693" s="2">
        <v>208.06</v>
      </c>
      <c r="G693" s="2" t="s">
        <v>46</v>
      </c>
      <c r="H693" s="2">
        <v>9</v>
      </c>
      <c r="I693" s="2">
        <v>1872.57</v>
      </c>
      <c r="J693" s="2" t="s">
        <v>33</v>
      </c>
      <c r="K693" s="2" t="s">
        <v>34</v>
      </c>
      <c r="L693" s="2" t="s">
        <v>47</v>
      </c>
      <c r="M693" s="2" t="s">
        <v>48</v>
      </c>
      <c r="N693" s="2" t="s">
        <v>1052</v>
      </c>
      <c r="O693" s="2" t="s">
        <v>1059</v>
      </c>
      <c r="P693" t="s">
        <v>1079</v>
      </c>
      <c r="Q693">
        <v>2024</v>
      </c>
    </row>
    <row r="694" spans="1:17" hidden="1" x14ac:dyDescent="0.25">
      <c r="A694" s="1" t="s">
        <v>910</v>
      </c>
      <c r="B694" s="3">
        <v>45608</v>
      </c>
      <c r="C694" s="1" t="s">
        <v>84</v>
      </c>
      <c r="D694" s="1" t="s">
        <v>39</v>
      </c>
      <c r="E694" s="1" t="s">
        <v>71</v>
      </c>
      <c r="F694" s="2">
        <v>205.64</v>
      </c>
      <c r="G694" s="2" t="s">
        <v>72</v>
      </c>
      <c r="H694" s="2">
        <v>14</v>
      </c>
      <c r="I694" s="2">
        <v>2879</v>
      </c>
      <c r="J694" s="2" t="s">
        <v>18</v>
      </c>
      <c r="K694" s="2" t="s">
        <v>19</v>
      </c>
      <c r="L694" s="2" t="s">
        <v>20</v>
      </c>
      <c r="M694" s="2" t="s">
        <v>64</v>
      </c>
      <c r="N694" s="2" t="s">
        <v>1064</v>
      </c>
      <c r="O694" s="2" t="s">
        <v>1053</v>
      </c>
      <c r="P694" t="s">
        <v>1079</v>
      </c>
      <c r="Q694">
        <v>2024</v>
      </c>
    </row>
    <row r="695" spans="1:17" hidden="1" x14ac:dyDescent="0.25">
      <c r="A695" s="1" t="s">
        <v>911</v>
      </c>
      <c r="B695" s="3">
        <v>45588</v>
      </c>
      <c r="C695" s="1" t="s">
        <v>462</v>
      </c>
      <c r="D695" s="1" t="s">
        <v>15</v>
      </c>
      <c r="E695" s="1" t="s">
        <v>16</v>
      </c>
      <c r="F695" s="2">
        <v>220.94</v>
      </c>
      <c r="G695" s="2" t="s">
        <v>82</v>
      </c>
      <c r="H695" s="2">
        <v>10</v>
      </c>
      <c r="I695" s="2">
        <v>2209.4499999999998</v>
      </c>
      <c r="J695" s="2" t="s">
        <v>33</v>
      </c>
      <c r="K695" s="2" t="s">
        <v>34</v>
      </c>
      <c r="L695" s="2" t="s">
        <v>47</v>
      </c>
      <c r="M695" s="2" t="s">
        <v>48</v>
      </c>
      <c r="N695" s="2" t="s">
        <v>1046</v>
      </c>
      <c r="O695" s="2" t="s">
        <v>1059</v>
      </c>
      <c r="P695" t="s">
        <v>1079</v>
      </c>
      <c r="Q695">
        <v>2024</v>
      </c>
    </row>
    <row r="696" spans="1:17" hidden="1" x14ac:dyDescent="0.25">
      <c r="A696" s="1" t="s">
        <v>912</v>
      </c>
      <c r="B696" s="3">
        <v>45467</v>
      </c>
      <c r="C696" s="1" t="s">
        <v>237</v>
      </c>
      <c r="D696" s="1" t="s">
        <v>31</v>
      </c>
      <c r="E696" s="1" t="s">
        <v>16</v>
      </c>
      <c r="F696" s="2">
        <v>3330</v>
      </c>
      <c r="G696" s="2" t="s">
        <v>31</v>
      </c>
      <c r="H696" s="2">
        <v>0</v>
      </c>
      <c r="I696" s="2">
        <v>0</v>
      </c>
      <c r="J696" s="2" t="s">
        <v>33</v>
      </c>
      <c r="K696" s="2" t="s">
        <v>34</v>
      </c>
      <c r="L696" s="2" t="s">
        <v>41</v>
      </c>
      <c r="M696" s="2" t="s">
        <v>76</v>
      </c>
      <c r="N696" s="2" t="s">
        <v>1062</v>
      </c>
      <c r="O696" s="2" t="s">
        <v>1056</v>
      </c>
      <c r="P696" t="s">
        <v>1079</v>
      </c>
      <c r="Q696">
        <v>2024</v>
      </c>
    </row>
    <row r="697" spans="1:17" hidden="1" x14ac:dyDescent="0.25">
      <c r="A697" s="1" t="s">
        <v>913</v>
      </c>
      <c r="B697" s="3">
        <v>45515</v>
      </c>
      <c r="C697" s="1" t="s">
        <v>190</v>
      </c>
      <c r="D697" s="1" t="s">
        <v>55</v>
      </c>
      <c r="E697" s="1" t="s">
        <v>25</v>
      </c>
      <c r="F697" s="2">
        <v>53.9</v>
      </c>
      <c r="G697" s="2" t="s">
        <v>148</v>
      </c>
      <c r="H697" s="2">
        <v>15</v>
      </c>
      <c r="I697" s="2">
        <v>808.5</v>
      </c>
      <c r="J697" s="2" t="s">
        <v>18</v>
      </c>
      <c r="K697" s="2" t="s">
        <v>19</v>
      </c>
      <c r="L697" s="2" t="s">
        <v>47</v>
      </c>
      <c r="M697" s="2" t="s">
        <v>85</v>
      </c>
      <c r="N697" s="2" t="s">
        <v>1051</v>
      </c>
      <c r="O697" s="2" t="s">
        <v>1055</v>
      </c>
      <c r="P697" t="s">
        <v>1079</v>
      </c>
      <c r="Q697">
        <v>2024</v>
      </c>
    </row>
    <row r="698" spans="1:17" hidden="1" x14ac:dyDescent="0.25">
      <c r="A698" s="1" t="s">
        <v>914</v>
      </c>
      <c r="B698" s="3">
        <v>45627</v>
      </c>
      <c r="C698" s="1" t="s">
        <v>915</v>
      </c>
      <c r="D698" s="1" t="s">
        <v>24</v>
      </c>
      <c r="E698" s="1" t="s">
        <v>25</v>
      </c>
      <c r="F698" s="2">
        <v>134.91999999999999</v>
      </c>
      <c r="G698" s="2" t="s">
        <v>68</v>
      </c>
      <c r="H698" s="2">
        <v>12</v>
      </c>
      <c r="I698" s="2">
        <v>1619</v>
      </c>
      <c r="J698" s="2" t="s">
        <v>18</v>
      </c>
      <c r="K698" s="2" t="s">
        <v>19</v>
      </c>
      <c r="L698" s="2" t="s">
        <v>41</v>
      </c>
      <c r="M698" s="2" t="s">
        <v>141</v>
      </c>
      <c r="N698" s="2" t="s">
        <v>1061</v>
      </c>
      <c r="O698" s="2" t="s">
        <v>1055</v>
      </c>
      <c r="P698" t="s">
        <v>1079</v>
      </c>
      <c r="Q698">
        <v>2024</v>
      </c>
    </row>
    <row r="699" spans="1:17" x14ac:dyDescent="0.25">
      <c r="A699" s="1" t="s">
        <v>916</v>
      </c>
      <c r="B699" s="3">
        <v>45769</v>
      </c>
      <c r="C699" s="1" t="s">
        <v>917</v>
      </c>
      <c r="D699" s="1" t="s">
        <v>15</v>
      </c>
      <c r="E699" s="1" t="s">
        <v>45</v>
      </c>
      <c r="F699" s="2">
        <v>81.430000000000007</v>
      </c>
      <c r="G699" s="2" t="s">
        <v>51</v>
      </c>
      <c r="H699" s="2">
        <v>10</v>
      </c>
      <c r="I699" s="2">
        <v>814.29</v>
      </c>
      <c r="J699" s="2" t="s">
        <v>18</v>
      </c>
      <c r="K699" s="2" t="s">
        <v>34</v>
      </c>
      <c r="L699" s="2" t="s">
        <v>35</v>
      </c>
      <c r="M699" s="2" t="s">
        <v>52</v>
      </c>
      <c r="N699" s="2" t="s">
        <v>1048</v>
      </c>
      <c r="O699" s="2" t="s">
        <v>1053</v>
      </c>
      <c r="P699" t="s">
        <v>1079</v>
      </c>
      <c r="Q699">
        <v>2025</v>
      </c>
    </row>
    <row r="700" spans="1:17" x14ac:dyDescent="0.25">
      <c r="A700" s="1" t="s">
        <v>918</v>
      </c>
      <c r="B700" s="3">
        <v>45692</v>
      </c>
      <c r="C700" s="1" t="s">
        <v>294</v>
      </c>
      <c r="D700" s="1" t="s">
        <v>31</v>
      </c>
      <c r="E700" s="1" t="s">
        <v>67</v>
      </c>
      <c r="F700" s="2">
        <v>182.6</v>
      </c>
      <c r="G700" s="2" t="s">
        <v>46</v>
      </c>
      <c r="H700" s="2">
        <v>0</v>
      </c>
      <c r="I700" s="2">
        <v>0</v>
      </c>
      <c r="J700" s="2" t="s">
        <v>63</v>
      </c>
      <c r="K700" s="2" t="s">
        <v>34</v>
      </c>
      <c r="L700" s="2" t="s">
        <v>47</v>
      </c>
      <c r="M700" s="2" t="s">
        <v>153</v>
      </c>
      <c r="N700" s="2" t="s">
        <v>1060</v>
      </c>
      <c r="O700" s="2" t="s">
        <v>1053</v>
      </c>
      <c r="P700" t="s">
        <v>1079</v>
      </c>
      <c r="Q700">
        <v>2025</v>
      </c>
    </row>
    <row r="701" spans="1:17" x14ac:dyDescent="0.25">
      <c r="A701" s="1" t="s">
        <v>919</v>
      </c>
      <c r="B701" s="3">
        <v>45835</v>
      </c>
      <c r="C701" s="1" t="s">
        <v>87</v>
      </c>
      <c r="D701" s="1" t="s">
        <v>39</v>
      </c>
      <c r="E701" s="1" t="s">
        <v>67</v>
      </c>
      <c r="F701" s="2">
        <v>121.59</v>
      </c>
      <c r="G701" s="2" t="s">
        <v>136</v>
      </c>
      <c r="H701" s="2">
        <v>14</v>
      </c>
      <c r="I701" s="2">
        <v>1702.32</v>
      </c>
      <c r="J701" s="2" t="s">
        <v>18</v>
      </c>
      <c r="K701" s="2" t="s">
        <v>19</v>
      </c>
      <c r="L701" s="2" t="s">
        <v>35</v>
      </c>
      <c r="M701" s="2" t="s">
        <v>126</v>
      </c>
      <c r="N701" s="2" t="s">
        <v>1062</v>
      </c>
      <c r="O701" s="2" t="s">
        <v>1058</v>
      </c>
      <c r="P701" t="s">
        <v>1079</v>
      </c>
      <c r="Q701">
        <v>2025</v>
      </c>
    </row>
    <row r="702" spans="1:17" hidden="1" x14ac:dyDescent="0.25">
      <c r="A702" s="1" t="s">
        <v>920</v>
      </c>
      <c r="B702" s="3">
        <v>45398</v>
      </c>
      <c r="C702" s="1" t="s">
        <v>175</v>
      </c>
      <c r="D702" s="1" t="s">
        <v>31</v>
      </c>
      <c r="E702" s="1" t="s">
        <v>71</v>
      </c>
      <c r="F702" s="2">
        <v>2527.66</v>
      </c>
      <c r="G702" s="2" t="s">
        <v>98</v>
      </c>
      <c r="H702" s="2">
        <v>0</v>
      </c>
      <c r="I702" s="2">
        <v>0</v>
      </c>
      <c r="J702" s="2" t="s">
        <v>18</v>
      </c>
      <c r="K702" s="2" t="s">
        <v>34</v>
      </c>
      <c r="L702" s="2" t="s">
        <v>41</v>
      </c>
      <c r="M702" s="2" t="s">
        <v>42</v>
      </c>
      <c r="N702" s="2" t="s">
        <v>1048</v>
      </c>
      <c r="O702" s="2" t="s">
        <v>1053</v>
      </c>
      <c r="P702" t="s">
        <v>1079</v>
      </c>
      <c r="Q702">
        <v>2024</v>
      </c>
    </row>
    <row r="703" spans="1:17" hidden="1" x14ac:dyDescent="0.25">
      <c r="A703" s="1" t="s">
        <v>921</v>
      </c>
      <c r="B703" s="3">
        <v>45394</v>
      </c>
      <c r="C703" s="1" t="s">
        <v>266</v>
      </c>
      <c r="D703" s="1" t="s">
        <v>55</v>
      </c>
      <c r="E703" s="1" t="s">
        <v>45</v>
      </c>
      <c r="F703" s="2">
        <v>89.27</v>
      </c>
      <c r="G703" s="2" t="s">
        <v>148</v>
      </c>
      <c r="H703" s="2">
        <v>15</v>
      </c>
      <c r="I703" s="2">
        <v>1339</v>
      </c>
      <c r="J703" s="2" t="s">
        <v>18</v>
      </c>
      <c r="K703" s="2" t="s">
        <v>19</v>
      </c>
      <c r="L703" s="2" t="s">
        <v>35</v>
      </c>
      <c r="M703" s="2" t="s">
        <v>126</v>
      </c>
      <c r="N703" s="2" t="s">
        <v>1048</v>
      </c>
      <c r="O703" s="2" t="s">
        <v>1058</v>
      </c>
      <c r="P703" t="s">
        <v>1079</v>
      </c>
      <c r="Q703">
        <v>2024</v>
      </c>
    </row>
    <row r="704" spans="1:17" hidden="1" x14ac:dyDescent="0.25">
      <c r="A704" s="1" t="s">
        <v>922</v>
      </c>
      <c r="B704" s="3">
        <v>45310</v>
      </c>
      <c r="C704" s="1" t="s">
        <v>923</v>
      </c>
      <c r="D704" s="1" t="s">
        <v>15</v>
      </c>
      <c r="E704" s="1" t="s">
        <v>67</v>
      </c>
      <c r="F704" s="2">
        <v>195.09</v>
      </c>
      <c r="G704" s="2" t="s">
        <v>17</v>
      </c>
      <c r="H704" s="2">
        <v>9</v>
      </c>
      <c r="I704" s="2">
        <v>1755.82</v>
      </c>
      <c r="J704" s="2" t="s">
        <v>18</v>
      </c>
      <c r="K704" s="2" t="s">
        <v>34</v>
      </c>
      <c r="L704" s="2" t="s">
        <v>27</v>
      </c>
      <c r="M704" s="2" t="s">
        <v>161</v>
      </c>
      <c r="N704" s="2" t="s">
        <v>1050</v>
      </c>
      <c r="O704" s="2" t="s">
        <v>1058</v>
      </c>
      <c r="P704" t="s">
        <v>1079</v>
      </c>
      <c r="Q704">
        <v>2024</v>
      </c>
    </row>
    <row r="705" spans="1:17" hidden="1" x14ac:dyDescent="0.25">
      <c r="A705" s="1" t="s">
        <v>924</v>
      </c>
      <c r="B705" s="3">
        <v>45361</v>
      </c>
      <c r="C705" s="1" t="s">
        <v>221</v>
      </c>
      <c r="D705" s="1" t="s">
        <v>31</v>
      </c>
      <c r="E705" s="1" t="s">
        <v>16</v>
      </c>
      <c r="F705" s="2">
        <v>136.86000000000001</v>
      </c>
      <c r="G705" s="2" t="s">
        <v>98</v>
      </c>
      <c r="H705" s="2">
        <v>10</v>
      </c>
      <c r="I705" s="2">
        <v>1368.6000000000001</v>
      </c>
      <c r="J705" s="2" t="s">
        <v>33</v>
      </c>
      <c r="K705" s="2" t="s">
        <v>34</v>
      </c>
      <c r="L705" s="2" t="s">
        <v>35</v>
      </c>
      <c r="M705" s="2" t="s">
        <v>36</v>
      </c>
      <c r="N705" s="2" t="s">
        <v>1054</v>
      </c>
      <c r="O705" s="2" t="s">
        <v>1055</v>
      </c>
      <c r="P705" t="s">
        <v>1079</v>
      </c>
      <c r="Q705">
        <v>2024</v>
      </c>
    </row>
    <row r="706" spans="1:17" x14ac:dyDescent="0.25">
      <c r="A706" s="1" t="s">
        <v>925</v>
      </c>
      <c r="B706" s="3">
        <v>45960</v>
      </c>
      <c r="C706" s="1" t="s">
        <v>106</v>
      </c>
      <c r="D706" s="1" t="s">
        <v>39</v>
      </c>
      <c r="E706" s="1" t="s">
        <v>67</v>
      </c>
      <c r="F706" s="2">
        <v>306.8</v>
      </c>
      <c r="G706" s="2" t="s">
        <v>40</v>
      </c>
      <c r="H706" s="2">
        <v>15</v>
      </c>
      <c r="I706" s="2">
        <v>4601.93</v>
      </c>
      <c r="J706" s="2" t="s">
        <v>18</v>
      </c>
      <c r="K706" s="2" t="s">
        <v>19</v>
      </c>
      <c r="L706" s="2" t="s">
        <v>41</v>
      </c>
      <c r="M706" s="2" t="s">
        <v>141</v>
      </c>
      <c r="N706" s="2" t="s">
        <v>1046</v>
      </c>
      <c r="O706" s="2" t="s">
        <v>1047</v>
      </c>
      <c r="P706" t="s">
        <v>1078</v>
      </c>
      <c r="Q706">
        <v>2025</v>
      </c>
    </row>
    <row r="707" spans="1:17" x14ac:dyDescent="0.25">
      <c r="A707" s="1" t="s">
        <v>926</v>
      </c>
      <c r="B707" s="3">
        <v>45852</v>
      </c>
      <c r="C707" s="1" t="s">
        <v>927</v>
      </c>
      <c r="D707" s="1" t="s">
        <v>24</v>
      </c>
      <c r="E707" s="1" t="s">
        <v>45</v>
      </c>
      <c r="F707" s="2">
        <v>52.13</v>
      </c>
      <c r="G707" s="2" t="s">
        <v>68</v>
      </c>
      <c r="H707" s="2">
        <v>20</v>
      </c>
      <c r="I707" s="2">
        <v>1042.67</v>
      </c>
      <c r="J707" s="2" t="s">
        <v>63</v>
      </c>
      <c r="K707" s="2" t="s">
        <v>19</v>
      </c>
      <c r="L707" s="2" t="s">
        <v>20</v>
      </c>
      <c r="M707" s="2" t="s">
        <v>64</v>
      </c>
      <c r="N707" s="2" t="s">
        <v>1052</v>
      </c>
      <c r="O707" s="2" t="s">
        <v>1056</v>
      </c>
      <c r="P707" t="s">
        <v>1079</v>
      </c>
      <c r="Q707">
        <v>2025</v>
      </c>
    </row>
    <row r="708" spans="1:17" x14ac:dyDescent="0.25">
      <c r="A708" s="1" t="s">
        <v>928</v>
      </c>
      <c r="B708" s="3">
        <v>45798</v>
      </c>
      <c r="C708" s="1" t="s">
        <v>74</v>
      </c>
      <c r="D708" s="1" t="s">
        <v>31</v>
      </c>
      <c r="E708" s="1" t="s">
        <v>71</v>
      </c>
      <c r="F708" s="2">
        <v>230.22</v>
      </c>
      <c r="G708" s="2" t="s">
        <v>98</v>
      </c>
      <c r="H708" s="2">
        <v>13</v>
      </c>
      <c r="I708" s="2">
        <v>2992.82</v>
      </c>
      <c r="J708" s="2" t="s">
        <v>18</v>
      </c>
      <c r="K708" s="2" t="s">
        <v>19</v>
      </c>
      <c r="L708" s="2" t="s">
        <v>47</v>
      </c>
      <c r="M708" s="2" t="s">
        <v>153</v>
      </c>
      <c r="N708" s="2" t="s">
        <v>1057</v>
      </c>
      <c r="O708" s="2" t="s">
        <v>1059</v>
      </c>
      <c r="P708" t="s">
        <v>1079</v>
      </c>
      <c r="Q708">
        <v>2025</v>
      </c>
    </row>
    <row r="709" spans="1:17" x14ac:dyDescent="0.25">
      <c r="A709" s="1" t="s">
        <v>929</v>
      </c>
      <c r="B709" s="3">
        <v>45957</v>
      </c>
      <c r="C709" s="1" t="s">
        <v>70</v>
      </c>
      <c r="D709" s="1" t="s">
        <v>24</v>
      </c>
      <c r="E709" s="1" t="s">
        <v>45</v>
      </c>
      <c r="F709" s="2">
        <v>307.17</v>
      </c>
      <c r="G709" s="2" t="s">
        <v>170</v>
      </c>
      <c r="H709" s="2">
        <v>6</v>
      </c>
      <c r="I709" s="2">
        <v>1843.03</v>
      </c>
      <c r="J709" s="2" t="s">
        <v>63</v>
      </c>
      <c r="K709" s="2" t="s">
        <v>34</v>
      </c>
      <c r="L709" s="2" t="s">
        <v>27</v>
      </c>
      <c r="M709" s="2" t="s">
        <v>59</v>
      </c>
      <c r="N709" s="2" t="s">
        <v>1046</v>
      </c>
      <c r="O709" s="2" t="s">
        <v>1056</v>
      </c>
      <c r="P709" t="s">
        <v>1079</v>
      </c>
      <c r="Q709">
        <v>2025</v>
      </c>
    </row>
    <row r="710" spans="1:17" hidden="1" x14ac:dyDescent="0.25">
      <c r="A710" s="1" t="s">
        <v>930</v>
      </c>
      <c r="B710" s="3">
        <v>45450</v>
      </c>
      <c r="C710" s="1" t="s">
        <v>264</v>
      </c>
      <c r="D710" s="1" t="s">
        <v>39</v>
      </c>
      <c r="E710" s="1" t="s">
        <v>67</v>
      </c>
      <c r="F710" s="2">
        <v>387.91</v>
      </c>
      <c r="G710" s="2" t="s">
        <v>72</v>
      </c>
      <c r="H710" s="2">
        <v>12</v>
      </c>
      <c r="I710" s="2">
        <v>4654.92</v>
      </c>
      <c r="J710" s="2" t="s">
        <v>18</v>
      </c>
      <c r="K710" s="2" t="s">
        <v>19</v>
      </c>
      <c r="L710" s="2" t="s">
        <v>41</v>
      </c>
      <c r="M710" s="2" t="s">
        <v>141</v>
      </c>
      <c r="N710" s="2" t="s">
        <v>1062</v>
      </c>
      <c r="O710" s="2" t="s">
        <v>1058</v>
      </c>
      <c r="P710" t="s">
        <v>1078</v>
      </c>
      <c r="Q710">
        <v>2024</v>
      </c>
    </row>
    <row r="711" spans="1:17" hidden="1" x14ac:dyDescent="0.25">
      <c r="A711" s="1" t="s">
        <v>931</v>
      </c>
      <c r="B711" s="3">
        <v>45379</v>
      </c>
      <c r="C711" s="1" t="s">
        <v>453</v>
      </c>
      <c r="D711" s="1" t="s">
        <v>55</v>
      </c>
      <c r="E711" s="1" t="s">
        <v>25</v>
      </c>
      <c r="F711" s="2">
        <v>131.61000000000001</v>
      </c>
      <c r="G711" s="2" t="s">
        <v>148</v>
      </c>
      <c r="H711" s="2">
        <v>13</v>
      </c>
      <c r="I711" s="2">
        <v>1710.98</v>
      </c>
      <c r="J711" s="2" t="s">
        <v>18</v>
      </c>
      <c r="K711" s="2" t="s">
        <v>19</v>
      </c>
      <c r="L711" s="2" t="s">
        <v>20</v>
      </c>
      <c r="M711" s="2" t="s">
        <v>64</v>
      </c>
      <c r="N711" s="2" t="s">
        <v>1054</v>
      </c>
      <c r="O711" s="2" t="s">
        <v>1047</v>
      </c>
      <c r="P711" t="s">
        <v>1079</v>
      </c>
      <c r="Q711">
        <v>2024</v>
      </c>
    </row>
    <row r="712" spans="1:17" hidden="1" x14ac:dyDescent="0.25">
      <c r="A712" s="1" t="s">
        <v>932</v>
      </c>
      <c r="B712" s="3">
        <v>45380</v>
      </c>
      <c r="C712" s="1" t="s">
        <v>116</v>
      </c>
      <c r="D712" s="1" t="s">
        <v>24</v>
      </c>
      <c r="E712" s="1" t="s">
        <v>71</v>
      </c>
      <c r="F712" s="2">
        <v>84.62</v>
      </c>
      <c r="G712" s="2" t="s">
        <v>26</v>
      </c>
      <c r="H712" s="2">
        <v>11</v>
      </c>
      <c r="I712" s="2">
        <v>930.82</v>
      </c>
      <c r="J712" s="2" t="s">
        <v>18</v>
      </c>
      <c r="K712" s="2" t="s">
        <v>19</v>
      </c>
      <c r="L712" s="2" t="s">
        <v>35</v>
      </c>
      <c r="M712" s="2" t="s">
        <v>52</v>
      </c>
      <c r="N712" s="2" t="s">
        <v>1054</v>
      </c>
      <c r="O712" s="2" t="s">
        <v>1058</v>
      </c>
      <c r="P712" t="s">
        <v>1079</v>
      </c>
      <c r="Q712">
        <v>2024</v>
      </c>
    </row>
    <row r="713" spans="1:17" x14ac:dyDescent="0.25">
      <c r="A713" s="1" t="s">
        <v>933</v>
      </c>
      <c r="B713" s="3">
        <v>45778</v>
      </c>
      <c r="C713" s="1" t="s">
        <v>147</v>
      </c>
      <c r="D713" s="1" t="s">
        <v>55</v>
      </c>
      <c r="E713" s="1" t="s">
        <v>25</v>
      </c>
      <c r="F713" s="2">
        <v>102.35</v>
      </c>
      <c r="G713" s="2" t="s">
        <v>90</v>
      </c>
      <c r="H713" s="2">
        <v>15</v>
      </c>
      <c r="I713" s="2">
        <v>1535.18</v>
      </c>
      <c r="J713" s="2" t="s">
        <v>18</v>
      </c>
      <c r="K713" s="2" t="s">
        <v>19</v>
      </c>
      <c r="L713" s="2" t="s">
        <v>20</v>
      </c>
      <c r="M713" s="2" t="s">
        <v>64</v>
      </c>
      <c r="N713" s="2" t="s">
        <v>1057</v>
      </c>
      <c r="O713" s="2" t="s">
        <v>1047</v>
      </c>
      <c r="P713" t="s">
        <v>1079</v>
      </c>
      <c r="Q713">
        <v>2025</v>
      </c>
    </row>
    <row r="714" spans="1:17" x14ac:dyDescent="0.25">
      <c r="A714" s="1" t="s">
        <v>934</v>
      </c>
      <c r="B714" s="3">
        <v>45748</v>
      </c>
      <c r="C714" s="1" t="s">
        <v>66</v>
      </c>
      <c r="D714" s="1" t="s">
        <v>55</v>
      </c>
      <c r="E714" s="1" t="s">
        <v>67</v>
      </c>
      <c r="F714" s="2">
        <v>53.18</v>
      </c>
      <c r="G714" s="2" t="s">
        <v>79</v>
      </c>
      <c r="H714" s="2">
        <v>13</v>
      </c>
      <c r="I714" s="2">
        <v>691.3</v>
      </c>
      <c r="J714" s="2" t="s">
        <v>18</v>
      </c>
      <c r="K714" s="2" t="s">
        <v>19</v>
      </c>
      <c r="L714" s="2" t="s">
        <v>41</v>
      </c>
      <c r="M714" s="2" t="s">
        <v>42</v>
      </c>
      <c r="N714" s="2" t="s">
        <v>1048</v>
      </c>
      <c r="O714" s="2" t="s">
        <v>1053</v>
      </c>
      <c r="P714" t="s">
        <v>1079</v>
      </c>
      <c r="Q714">
        <v>2025</v>
      </c>
    </row>
    <row r="715" spans="1:17" hidden="1" x14ac:dyDescent="0.25">
      <c r="A715" s="1" t="s">
        <v>935</v>
      </c>
      <c r="B715" s="3">
        <v>45575</v>
      </c>
      <c r="C715" s="1" t="s">
        <v>936</v>
      </c>
      <c r="D715" s="1" t="s">
        <v>24</v>
      </c>
      <c r="E715" s="1" t="s">
        <v>67</v>
      </c>
      <c r="F715" s="2">
        <v>11.29</v>
      </c>
      <c r="G715" s="2" t="s">
        <v>26</v>
      </c>
      <c r="H715" s="2">
        <v>116</v>
      </c>
      <c r="I715" s="2">
        <v>1309.4000000000001</v>
      </c>
      <c r="J715" s="2" t="s">
        <v>18</v>
      </c>
      <c r="K715" s="2" t="s">
        <v>19</v>
      </c>
      <c r="L715" s="2" t="s">
        <v>47</v>
      </c>
      <c r="M715" s="2" t="s">
        <v>153</v>
      </c>
      <c r="N715" s="2" t="s">
        <v>1046</v>
      </c>
      <c r="O715" s="2" t="s">
        <v>1047</v>
      </c>
      <c r="P715" t="s">
        <v>1079</v>
      </c>
      <c r="Q715">
        <v>2024</v>
      </c>
    </row>
    <row r="716" spans="1:17" hidden="1" x14ac:dyDescent="0.25">
      <c r="A716" s="1" t="s">
        <v>937</v>
      </c>
      <c r="B716" s="3">
        <v>45388</v>
      </c>
      <c r="C716" s="1" t="s">
        <v>181</v>
      </c>
      <c r="D716" s="1" t="s">
        <v>39</v>
      </c>
      <c r="E716" s="1" t="s">
        <v>45</v>
      </c>
      <c r="F716" s="2">
        <v>398.32</v>
      </c>
      <c r="G716" s="2" t="s">
        <v>40</v>
      </c>
      <c r="H716" s="2">
        <v>7</v>
      </c>
      <c r="I716" s="2">
        <v>2788.27</v>
      </c>
      <c r="J716" s="2" t="s">
        <v>18</v>
      </c>
      <c r="K716" s="2" t="s">
        <v>34</v>
      </c>
      <c r="L716" s="2" t="s">
        <v>35</v>
      </c>
      <c r="M716" s="2" t="s">
        <v>36</v>
      </c>
      <c r="N716" s="2" t="s">
        <v>1048</v>
      </c>
      <c r="O716" s="2" t="s">
        <v>1063</v>
      </c>
      <c r="P716" t="s">
        <v>1079</v>
      </c>
      <c r="Q716">
        <v>2024</v>
      </c>
    </row>
    <row r="717" spans="1:17" x14ac:dyDescent="0.25">
      <c r="A717" s="1" t="s">
        <v>938</v>
      </c>
      <c r="B717" s="3">
        <v>45890</v>
      </c>
      <c r="C717" s="1" t="s">
        <v>375</v>
      </c>
      <c r="D717" s="1" t="s">
        <v>24</v>
      </c>
      <c r="E717" s="1" t="s">
        <v>45</v>
      </c>
      <c r="F717" s="2">
        <v>113.82</v>
      </c>
      <c r="G717" s="2" t="s">
        <v>75</v>
      </c>
      <c r="H717" s="2">
        <v>11</v>
      </c>
      <c r="I717" s="2">
        <v>1252.01</v>
      </c>
      <c r="J717" s="2" t="s">
        <v>18</v>
      </c>
      <c r="K717" s="2" t="s">
        <v>19</v>
      </c>
      <c r="L717" s="2" t="s">
        <v>41</v>
      </c>
      <c r="M717" s="2" t="s">
        <v>141</v>
      </c>
      <c r="N717" s="2" t="s">
        <v>1051</v>
      </c>
      <c r="O717" s="2" t="s">
        <v>1047</v>
      </c>
      <c r="P717" t="s">
        <v>1079</v>
      </c>
      <c r="Q717">
        <v>2025</v>
      </c>
    </row>
    <row r="718" spans="1:17" x14ac:dyDescent="0.25">
      <c r="A718" s="1" t="s">
        <v>939</v>
      </c>
      <c r="B718" s="3">
        <v>45952</v>
      </c>
      <c r="C718" s="1" t="s">
        <v>128</v>
      </c>
      <c r="D718" s="1" t="s">
        <v>39</v>
      </c>
      <c r="E718" s="1" t="s">
        <v>71</v>
      </c>
      <c r="F718" s="2">
        <v>47.78</v>
      </c>
      <c r="G718" s="2" t="s">
        <v>72</v>
      </c>
      <c r="H718" s="2">
        <v>16</v>
      </c>
      <c r="I718" s="2">
        <v>166.2715</v>
      </c>
      <c r="J718" s="2" t="s">
        <v>18</v>
      </c>
      <c r="K718" s="2" t="s">
        <v>19</v>
      </c>
      <c r="L718" s="2" t="s">
        <v>27</v>
      </c>
      <c r="M718" s="2" t="s">
        <v>59</v>
      </c>
      <c r="N718" s="2" t="s">
        <v>1046</v>
      </c>
      <c r="O718" s="2" t="s">
        <v>1059</v>
      </c>
      <c r="P718" t="s">
        <v>1079</v>
      </c>
      <c r="Q718">
        <v>2025</v>
      </c>
    </row>
    <row r="719" spans="1:17" hidden="1" x14ac:dyDescent="0.25">
      <c r="A719" s="1" t="s">
        <v>940</v>
      </c>
      <c r="B719" s="3">
        <v>45467</v>
      </c>
      <c r="C719" s="1" t="s">
        <v>84</v>
      </c>
      <c r="D719" s="1" t="s">
        <v>31</v>
      </c>
      <c r="E719" s="1" t="s">
        <v>16</v>
      </c>
      <c r="F719" s="2">
        <v>171.64</v>
      </c>
      <c r="G719" s="2" t="s">
        <v>98</v>
      </c>
      <c r="H719" s="2">
        <v>16</v>
      </c>
      <c r="I719" s="2">
        <v>2746.28</v>
      </c>
      <c r="J719" s="2" t="s">
        <v>18</v>
      </c>
      <c r="K719" s="2" t="s">
        <v>19</v>
      </c>
      <c r="L719" s="2" t="s">
        <v>20</v>
      </c>
      <c r="M719" s="2" t="s">
        <v>21</v>
      </c>
      <c r="N719" s="2" t="s">
        <v>1062</v>
      </c>
      <c r="O719" s="2" t="s">
        <v>1056</v>
      </c>
      <c r="P719" t="s">
        <v>1079</v>
      </c>
      <c r="Q719">
        <v>2024</v>
      </c>
    </row>
    <row r="720" spans="1:17" x14ac:dyDescent="0.25">
      <c r="A720" s="1" t="s">
        <v>941</v>
      </c>
      <c r="B720" s="3">
        <v>45856</v>
      </c>
      <c r="C720" s="1" t="s">
        <v>942</v>
      </c>
      <c r="D720" s="1" t="s">
        <v>55</v>
      </c>
      <c r="E720" s="1" t="s">
        <v>67</v>
      </c>
      <c r="F720" s="2">
        <v>149.12</v>
      </c>
      <c r="G720" s="2" t="s">
        <v>90</v>
      </c>
      <c r="H720" s="2">
        <v>11</v>
      </c>
      <c r="I720" s="2">
        <v>1640.34</v>
      </c>
      <c r="J720" s="2" t="s">
        <v>63</v>
      </c>
      <c r="K720" s="2" t="s">
        <v>19</v>
      </c>
      <c r="L720" s="2" t="s">
        <v>47</v>
      </c>
      <c r="M720" s="2" t="s">
        <v>85</v>
      </c>
      <c r="N720" s="2" t="s">
        <v>1052</v>
      </c>
      <c r="O720" s="2" t="s">
        <v>1058</v>
      </c>
      <c r="P720" t="s">
        <v>1079</v>
      </c>
      <c r="Q720">
        <v>2025</v>
      </c>
    </row>
    <row r="721" spans="1:17" hidden="1" x14ac:dyDescent="0.25">
      <c r="A721" s="1" t="s">
        <v>943</v>
      </c>
      <c r="B721" s="3">
        <v>45489</v>
      </c>
      <c r="C721" s="1" t="s">
        <v>188</v>
      </c>
      <c r="D721" s="1" t="s">
        <v>39</v>
      </c>
      <c r="E721" s="1" t="s">
        <v>25</v>
      </c>
      <c r="F721" s="2">
        <v>108.38</v>
      </c>
      <c r="G721" s="2" t="s">
        <v>136</v>
      </c>
      <c r="H721" s="2">
        <v>14</v>
      </c>
      <c r="I721" s="2">
        <v>1517.31</v>
      </c>
      <c r="J721" s="2" t="s">
        <v>18</v>
      </c>
      <c r="K721" s="2" t="s">
        <v>19</v>
      </c>
      <c r="L721" s="2" t="s">
        <v>27</v>
      </c>
      <c r="M721" s="2" t="s">
        <v>59</v>
      </c>
      <c r="N721" s="2" t="s">
        <v>1052</v>
      </c>
      <c r="O721" s="2" t="s">
        <v>1053</v>
      </c>
      <c r="P721" t="s">
        <v>1079</v>
      </c>
      <c r="Q721">
        <v>2024</v>
      </c>
    </row>
    <row r="722" spans="1:17" hidden="1" x14ac:dyDescent="0.25">
      <c r="A722" s="1" t="s">
        <v>944</v>
      </c>
      <c r="B722" s="3">
        <v>45527</v>
      </c>
      <c r="C722" s="1" t="s">
        <v>351</v>
      </c>
      <c r="D722" s="1" t="s">
        <v>39</v>
      </c>
      <c r="E722" s="1" t="s">
        <v>25</v>
      </c>
      <c r="F722" s="2">
        <v>129.61000000000001</v>
      </c>
      <c r="G722" s="2" t="s">
        <v>93</v>
      </c>
      <c r="H722" s="2">
        <v>11</v>
      </c>
      <c r="I722" s="2">
        <v>1425.76</v>
      </c>
      <c r="J722" s="2" t="s">
        <v>18</v>
      </c>
      <c r="K722" s="2" t="s">
        <v>19</v>
      </c>
      <c r="L722" s="2" t="s">
        <v>47</v>
      </c>
      <c r="M722" s="2" t="s">
        <v>85</v>
      </c>
      <c r="N722" s="2" t="s">
        <v>1051</v>
      </c>
      <c r="O722" s="2" t="s">
        <v>1058</v>
      </c>
      <c r="P722" t="s">
        <v>1079</v>
      </c>
      <c r="Q722">
        <v>2024</v>
      </c>
    </row>
    <row r="723" spans="1:17" hidden="1" x14ac:dyDescent="0.25">
      <c r="A723" s="1" t="s">
        <v>945</v>
      </c>
      <c r="B723" s="3">
        <v>45410</v>
      </c>
      <c r="C723" s="1" t="s">
        <v>150</v>
      </c>
      <c r="D723" s="1" t="s">
        <v>15</v>
      </c>
      <c r="E723" s="1" t="s">
        <v>16</v>
      </c>
      <c r="F723" s="2">
        <v>304</v>
      </c>
      <c r="G723" s="2" t="s">
        <v>17</v>
      </c>
      <c r="H723" s="2">
        <v>12</v>
      </c>
      <c r="I723" s="2">
        <v>3647.95</v>
      </c>
      <c r="J723" s="2" t="s">
        <v>18</v>
      </c>
      <c r="K723" s="2" t="s">
        <v>19</v>
      </c>
      <c r="L723" s="2" t="s">
        <v>47</v>
      </c>
      <c r="M723" s="2" t="s">
        <v>48</v>
      </c>
      <c r="N723" s="2" t="s">
        <v>1048</v>
      </c>
      <c r="O723" s="2" t="s">
        <v>1055</v>
      </c>
      <c r="P723" t="s">
        <v>1079</v>
      </c>
      <c r="Q723">
        <v>2024</v>
      </c>
    </row>
    <row r="724" spans="1:17" hidden="1" x14ac:dyDescent="0.25">
      <c r="A724" s="1" t="s">
        <v>946</v>
      </c>
      <c r="B724" s="3">
        <v>45644</v>
      </c>
      <c r="C724" s="1" t="s">
        <v>235</v>
      </c>
      <c r="D724" s="1" t="s">
        <v>39</v>
      </c>
      <c r="E724" s="1" t="s">
        <v>71</v>
      </c>
      <c r="F724" s="2">
        <v>103.42</v>
      </c>
      <c r="G724" s="2" t="s">
        <v>136</v>
      </c>
      <c r="H724" s="2">
        <v>12</v>
      </c>
      <c r="I724" s="2">
        <v>1241</v>
      </c>
      <c r="J724" s="2" t="s">
        <v>18</v>
      </c>
      <c r="K724" s="2" t="s">
        <v>19</v>
      </c>
      <c r="L724" s="2" t="s">
        <v>47</v>
      </c>
      <c r="M724" s="2" t="s">
        <v>48</v>
      </c>
      <c r="N724" s="2" t="s">
        <v>1061</v>
      </c>
      <c r="O724" s="2" t="s">
        <v>1059</v>
      </c>
      <c r="P724" t="s">
        <v>1079</v>
      </c>
      <c r="Q724">
        <v>2024</v>
      </c>
    </row>
    <row r="725" spans="1:17" hidden="1" x14ac:dyDescent="0.25">
      <c r="A725" s="1" t="s">
        <v>947</v>
      </c>
      <c r="B725" s="3">
        <v>45514</v>
      </c>
      <c r="C725" s="1" t="s">
        <v>533</v>
      </c>
      <c r="D725" s="1" t="s">
        <v>39</v>
      </c>
      <c r="E725" s="1" t="s">
        <v>25</v>
      </c>
      <c r="F725" s="2">
        <v>151</v>
      </c>
      <c r="G725" s="2" t="s">
        <v>72</v>
      </c>
      <c r="H725" s="2">
        <v>11</v>
      </c>
      <c r="I725" s="2">
        <v>1661</v>
      </c>
      <c r="J725" s="2" t="s">
        <v>63</v>
      </c>
      <c r="K725" s="2" t="s">
        <v>19</v>
      </c>
      <c r="L725" s="2" t="s">
        <v>20</v>
      </c>
      <c r="M725" s="2" t="s">
        <v>88</v>
      </c>
      <c r="N725" s="2" t="s">
        <v>1051</v>
      </c>
      <c r="O725" s="2" t="s">
        <v>1063</v>
      </c>
      <c r="P725" t="s">
        <v>1079</v>
      </c>
      <c r="Q725">
        <v>2024</v>
      </c>
    </row>
    <row r="726" spans="1:17" hidden="1" x14ac:dyDescent="0.25">
      <c r="A726" s="1" t="s">
        <v>948</v>
      </c>
      <c r="B726" s="3">
        <v>45353</v>
      </c>
      <c r="C726" s="1" t="s">
        <v>70</v>
      </c>
      <c r="D726" s="1" t="s">
        <v>31</v>
      </c>
      <c r="E726" s="1" t="s">
        <v>25</v>
      </c>
      <c r="F726" s="2">
        <v>83.38</v>
      </c>
      <c r="G726" s="2" t="s">
        <v>32</v>
      </c>
      <c r="H726" s="2">
        <v>15</v>
      </c>
      <c r="I726" s="2">
        <v>1250.76</v>
      </c>
      <c r="J726" s="2" t="s">
        <v>18</v>
      </c>
      <c r="K726" s="2" t="s">
        <v>19</v>
      </c>
      <c r="L726" s="2" t="s">
        <v>27</v>
      </c>
      <c r="M726" s="2" t="s">
        <v>28</v>
      </c>
      <c r="N726" s="2" t="s">
        <v>1054</v>
      </c>
      <c r="O726" s="2" t="s">
        <v>1063</v>
      </c>
      <c r="P726" t="s">
        <v>1079</v>
      </c>
      <c r="Q726">
        <v>2024</v>
      </c>
    </row>
    <row r="727" spans="1:17" x14ac:dyDescent="0.25">
      <c r="A727" s="1" t="s">
        <v>949</v>
      </c>
      <c r="B727" s="3">
        <v>45765</v>
      </c>
      <c r="C727" s="1" t="s">
        <v>66</v>
      </c>
      <c r="D727" s="1" t="s">
        <v>31</v>
      </c>
      <c r="E727" s="1" t="s">
        <v>25</v>
      </c>
      <c r="F727" s="2">
        <v>226.86</v>
      </c>
      <c r="G727" s="2" t="s">
        <v>98</v>
      </c>
      <c r="H727" s="2">
        <v>12</v>
      </c>
      <c r="I727" s="2">
        <v>2722.26</v>
      </c>
      <c r="J727" s="2" t="s">
        <v>18</v>
      </c>
      <c r="K727" s="2" t="s">
        <v>19</v>
      </c>
      <c r="L727" s="2" t="s">
        <v>35</v>
      </c>
      <c r="M727" s="2" t="s">
        <v>52</v>
      </c>
      <c r="N727" s="2" t="s">
        <v>1048</v>
      </c>
      <c r="O727" s="2" t="s">
        <v>1058</v>
      </c>
      <c r="P727" t="s">
        <v>1079</v>
      </c>
      <c r="Q727">
        <v>2025</v>
      </c>
    </row>
    <row r="728" spans="1:17" x14ac:dyDescent="0.25">
      <c r="A728" s="1" t="s">
        <v>950</v>
      </c>
      <c r="B728" s="3">
        <v>45867</v>
      </c>
      <c r="C728" s="1" t="s">
        <v>112</v>
      </c>
      <c r="D728" s="1" t="s">
        <v>31</v>
      </c>
      <c r="E728" s="1" t="s">
        <v>45</v>
      </c>
      <c r="F728" s="2">
        <v>56.98</v>
      </c>
      <c r="G728" s="2" t="s">
        <v>31</v>
      </c>
      <c r="H728" s="2">
        <v>16</v>
      </c>
      <c r="I728" s="2">
        <v>911.63</v>
      </c>
      <c r="J728" s="2" t="s">
        <v>33</v>
      </c>
      <c r="K728" s="2" t="s">
        <v>19</v>
      </c>
      <c r="L728" s="2" t="s">
        <v>47</v>
      </c>
      <c r="M728" s="2" t="s">
        <v>153</v>
      </c>
      <c r="N728" s="2" t="s">
        <v>1052</v>
      </c>
      <c r="O728" s="2" t="s">
        <v>1053</v>
      </c>
      <c r="P728" t="s">
        <v>1079</v>
      </c>
      <c r="Q728">
        <v>2025</v>
      </c>
    </row>
    <row r="729" spans="1:17" hidden="1" x14ac:dyDescent="0.25">
      <c r="A729" s="1" t="s">
        <v>951</v>
      </c>
      <c r="B729" s="3">
        <v>45407</v>
      </c>
      <c r="C729" s="1" t="s">
        <v>228</v>
      </c>
      <c r="D729" s="1" t="s">
        <v>31</v>
      </c>
      <c r="E729" s="1" t="s">
        <v>45</v>
      </c>
      <c r="F729" s="2">
        <v>84.75</v>
      </c>
      <c r="G729" s="2" t="s">
        <v>46</v>
      </c>
      <c r="H729" s="2">
        <v>13</v>
      </c>
      <c r="I729" s="2">
        <v>1101.8</v>
      </c>
      <c r="J729" s="2" t="s">
        <v>33</v>
      </c>
      <c r="K729" s="2" t="s">
        <v>19</v>
      </c>
      <c r="L729" s="2" t="s">
        <v>20</v>
      </c>
      <c r="M729" s="2" t="s">
        <v>21</v>
      </c>
      <c r="N729" s="2" t="s">
        <v>1048</v>
      </c>
      <c r="O729" s="2" t="s">
        <v>1047</v>
      </c>
      <c r="P729" t="s">
        <v>1079</v>
      </c>
      <c r="Q729">
        <v>2024</v>
      </c>
    </row>
    <row r="730" spans="1:17" x14ac:dyDescent="0.25">
      <c r="A730" s="1" t="s">
        <v>952</v>
      </c>
      <c r="B730" s="3">
        <v>45776</v>
      </c>
      <c r="C730" s="1" t="s">
        <v>219</v>
      </c>
      <c r="D730" s="1" t="s">
        <v>55</v>
      </c>
      <c r="E730" s="1" t="s">
        <v>67</v>
      </c>
      <c r="F730" s="2">
        <v>193.5</v>
      </c>
      <c r="G730" s="2" t="s">
        <v>56</v>
      </c>
      <c r="H730" s="2">
        <v>10</v>
      </c>
      <c r="I730" s="2">
        <v>1935.02</v>
      </c>
      <c r="J730" s="2" t="s">
        <v>18</v>
      </c>
      <c r="K730" s="2" t="s">
        <v>34</v>
      </c>
      <c r="L730" s="2" t="s">
        <v>41</v>
      </c>
      <c r="M730" s="2" t="s">
        <v>76</v>
      </c>
      <c r="N730" s="2" t="s">
        <v>1048</v>
      </c>
      <c r="O730" s="2" t="s">
        <v>1053</v>
      </c>
      <c r="P730" t="s">
        <v>1079</v>
      </c>
      <c r="Q730">
        <v>2025</v>
      </c>
    </row>
    <row r="731" spans="1:17" x14ac:dyDescent="0.25">
      <c r="A731" s="1" t="s">
        <v>953</v>
      </c>
      <c r="B731" s="3">
        <v>45850</v>
      </c>
      <c r="C731" s="1" t="s">
        <v>954</v>
      </c>
      <c r="D731" s="1" t="s">
        <v>39</v>
      </c>
      <c r="E731" s="1" t="s">
        <v>16</v>
      </c>
      <c r="F731" s="2">
        <v>10.11</v>
      </c>
      <c r="G731" s="2" t="s">
        <v>40</v>
      </c>
      <c r="H731" s="2">
        <v>107</v>
      </c>
      <c r="I731" s="2">
        <v>1081.26</v>
      </c>
      <c r="J731" s="2" t="s">
        <v>18</v>
      </c>
      <c r="K731" s="2" t="s">
        <v>19</v>
      </c>
      <c r="L731" s="2" t="s">
        <v>20</v>
      </c>
      <c r="M731" s="2" t="s">
        <v>64</v>
      </c>
      <c r="N731" s="2" t="s">
        <v>1052</v>
      </c>
      <c r="O731" s="2" t="s">
        <v>1063</v>
      </c>
      <c r="P731" t="s">
        <v>1079</v>
      </c>
      <c r="Q731">
        <v>2025</v>
      </c>
    </row>
    <row r="732" spans="1:17" x14ac:dyDescent="0.25">
      <c r="A732" s="1" t="s">
        <v>955</v>
      </c>
      <c r="B732" s="3">
        <v>45686</v>
      </c>
      <c r="C732" s="1" t="s">
        <v>281</v>
      </c>
      <c r="D732" s="1" t="s">
        <v>55</v>
      </c>
      <c r="E732" s="1" t="s">
        <v>16</v>
      </c>
      <c r="F732" s="2">
        <v>1641.06</v>
      </c>
      <c r="G732" s="2" t="s">
        <v>79</v>
      </c>
      <c r="H732" s="2">
        <v>1</v>
      </c>
      <c r="I732" s="2">
        <v>1641.06</v>
      </c>
      <c r="J732" s="2" t="s">
        <v>18</v>
      </c>
      <c r="K732" s="2" t="s">
        <v>34</v>
      </c>
      <c r="L732" s="2" t="s">
        <v>20</v>
      </c>
      <c r="M732" s="2" t="s">
        <v>64</v>
      </c>
      <c r="N732" s="2" t="s">
        <v>1050</v>
      </c>
      <c r="O732" s="2" t="s">
        <v>1059</v>
      </c>
      <c r="P732" t="s">
        <v>1079</v>
      </c>
      <c r="Q732">
        <v>2025</v>
      </c>
    </row>
    <row r="733" spans="1:17" hidden="1" x14ac:dyDescent="0.25">
      <c r="A733" s="1" t="s">
        <v>956</v>
      </c>
      <c r="B733" s="3">
        <v>45653</v>
      </c>
      <c r="C733" s="1" t="s">
        <v>240</v>
      </c>
      <c r="D733" s="1" t="s">
        <v>55</v>
      </c>
      <c r="E733" s="1" t="s">
        <v>71</v>
      </c>
      <c r="F733" s="2">
        <v>120.64</v>
      </c>
      <c r="G733" s="2" t="s">
        <v>56</v>
      </c>
      <c r="H733" s="2">
        <v>11</v>
      </c>
      <c r="I733" s="2">
        <v>1327</v>
      </c>
      <c r="J733" s="2" t="s">
        <v>63</v>
      </c>
      <c r="K733" s="2" t="s">
        <v>19</v>
      </c>
      <c r="L733" s="2" t="s">
        <v>35</v>
      </c>
      <c r="M733" s="2" t="s">
        <v>36</v>
      </c>
      <c r="N733" s="2" t="s">
        <v>1061</v>
      </c>
      <c r="O733" s="2" t="s">
        <v>1058</v>
      </c>
      <c r="P733" t="s">
        <v>1079</v>
      </c>
      <c r="Q733">
        <v>2024</v>
      </c>
    </row>
    <row r="734" spans="1:17" x14ac:dyDescent="0.25">
      <c r="A734" s="1" t="s">
        <v>957</v>
      </c>
      <c r="B734" s="3">
        <v>45772</v>
      </c>
      <c r="C734" s="1" t="s">
        <v>78</v>
      </c>
      <c r="D734" s="1" t="s">
        <v>39</v>
      </c>
      <c r="E734" s="1" t="s">
        <v>25</v>
      </c>
      <c r="F734" s="2">
        <v>258.43</v>
      </c>
      <c r="G734" s="2" t="s">
        <v>136</v>
      </c>
      <c r="H734" s="2">
        <v>7</v>
      </c>
      <c r="I734" s="2">
        <v>1809</v>
      </c>
      <c r="J734" s="2" t="s">
        <v>18</v>
      </c>
      <c r="K734" s="2" t="s">
        <v>34</v>
      </c>
      <c r="L734" s="2" t="s">
        <v>35</v>
      </c>
      <c r="M734" s="2" t="s">
        <v>52</v>
      </c>
      <c r="N734" s="2" t="s">
        <v>1048</v>
      </c>
      <c r="O734" s="2" t="s">
        <v>1058</v>
      </c>
      <c r="P734" t="s">
        <v>1079</v>
      </c>
      <c r="Q734">
        <v>2025</v>
      </c>
    </row>
    <row r="735" spans="1:17" x14ac:dyDescent="0.25">
      <c r="A735" s="1" t="s">
        <v>958</v>
      </c>
      <c r="B735" s="3">
        <v>45714</v>
      </c>
      <c r="C735" s="1" t="s">
        <v>152</v>
      </c>
      <c r="D735" s="1" t="s">
        <v>31</v>
      </c>
      <c r="E735" s="1" t="s">
        <v>25</v>
      </c>
      <c r="F735" s="2">
        <v>178.19</v>
      </c>
      <c r="G735" s="2" t="s">
        <v>46</v>
      </c>
      <c r="H735" s="2">
        <v>12</v>
      </c>
      <c r="I735" s="2">
        <v>2138.29</v>
      </c>
      <c r="J735" s="2" t="s">
        <v>63</v>
      </c>
      <c r="K735" s="2" t="s">
        <v>19</v>
      </c>
      <c r="L735" s="2" t="s">
        <v>27</v>
      </c>
      <c r="M735" s="2" t="s">
        <v>28</v>
      </c>
      <c r="N735" s="2" t="s">
        <v>1060</v>
      </c>
      <c r="O735" s="2" t="s">
        <v>1059</v>
      </c>
      <c r="P735" t="s">
        <v>1079</v>
      </c>
      <c r="Q735">
        <v>2025</v>
      </c>
    </row>
    <row r="736" spans="1:17" hidden="1" x14ac:dyDescent="0.25">
      <c r="A736" s="1" t="s">
        <v>959</v>
      </c>
      <c r="B736" s="3">
        <v>45334</v>
      </c>
      <c r="C736" s="1" t="s">
        <v>100</v>
      </c>
      <c r="D736" s="1" t="s">
        <v>55</v>
      </c>
      <c r="E736" s="1" t="s">
        <v>71</v>
      </c>
      <c r="F736" s="2">
        <v>242.95</v>
      </c>
      <c r="G736" s="2" t="s">
        <v>56</v>
      </c>
      <c r="H736" s="2">
        <v>11</v>
      </c>
      <c r="I736" s="2">
        <v>2672.46</v>
      </c>
      <c r="J736" s="2" t="s">
        <v>33</v>
      </c>
      <c r="K736" s="2" t="s">
        <v>19</v>
      </c>
      <c r="L736" s="2" t="s">
        <v>35</v>
      </c>
      <c r="M736" s="2" t="s">
        <v>52</v>
      </c>
      <c r="N736" s="2" t="s">
        <v>1060</v>
      </c>
      <c r="O736" s="2" t="s">
        <v>1056</v>
      </c>
      <c r="P736" t="s">
        <v>1079</v>
      </c>
      <c r="Q736">
        <v>2024</v>
      </c>
    </row>
    <row r="737" spans="1:17" x14ac:dyDescent="0.25">
      <c r="A737" s="1" t="s">
        <v>960</v>
      </c>
      <c r="B737" s="3">
        <v>45863</v>
      </c>
      <c r="C737" s="1" t="s">
        <v>275</v>
      </c>
      <c r="D737" s="1" t="s">
        <v>55</v>
      </c>
      <c r="E737" s="1" t="s">
        <v>16</v>
      </c>
      <c r="F737" s="2">
        <v>143.62</v>
      </c>
      <c r="G737" s="2" t="s">
        <v>148</v>
      </c>
      <c r="H737" s="2">
        <v>8</v>
      </c>
      <c r="I737" s="2">
        <v>1149</v>
      </c>
      <c r="J737" s="2" t="s">
        <v>63</v>
      </c>
      <c r="K737" s="2" t="s">
        <v>34</v>
      </c>
      <c r="L737" s="2" t="s">
        <v>20</v>
      </c>
      <c r="M737" s="2" t="s">
        <v>88</v>
      </c>
      <c r="N737" s="2" t="s">
        <v>1052</v>
      </c>
      <c r="O737" s="2" t="s">
        <v>1058</v>
      </c>
      <c r="P737" t="s">
        <v>1079</v>
      </c>
      <c r="Q737">
        <v>2025</v>
      </c>
    </row>
    <row r="738" spans="1:17" x14ac:dyDescent="0.25">
      <c r="A738" s="1" t="s">
        <v>961</v>
      </c>
      <c r="B738" s="3">
        <v>45906</v>
      </c>
      <c r="C738" s="1" t="s">
        <v>58</v>
      </c>
      <c r="D738" s="1" t="s">
        <v>31</v>
      </c>
      <c r="E738" s="1" t="s">
        <v>45</v>
      </c>
      <c r="F738" s="2">
        <v>16.3</v>
      </c>
      <c r="G738" s="2" t="s">
        <v>32</v>
      </c>
      <c r="H738" s="2">
        <v>75</v>
      </c>
      <c r="I738" s="2">
        <v>1222.75</v>
      </c>
      <c r="J738" s="2" t="s">
        <v>63</v>
      </c>
      <c r="K738" s="2" t="s">
        <v>19</v>
      </c>
      <c r="L738" s="2" t="s">
        <v>41</v>
      </c>
      <c r="M738" s="2" t="s">
        <v>141</v>
      </c>
      <c r="N738" s="2" t="s">
        <v>1049</v>
      </c>
      <c r="O738" s="2" t="s">
        <v>1063</v>
      </c>
      <c r="P738" t="s">
        <v>1079</v>
      </c>
      <c r="Q738">
        <v>2025</v>
      </c>
    </row>
    <row r="739" spans="1:17" x14ac:dyDescent="0.25">
      <c r="A739" s="1" t="s">
        <v>962</v>
      </c>
      <c r="B739" s="3">
        <v>45913</v>
      </c>
      <c r="C739" s="1" t="s">
        <v>963</v>
      </c>
      <c r="D739" s="1" t="s">
        <v>31</v>
      </c>
      <c r="E739" s="1" t="s">
        <v>71</v>
      </c>
      <c r="F739" s="2">
        <v>170.73</v>
      </c>
      <c r="G739" s="2" t="s">
        <v>31</v>
      </c>
      <c r="H739" s="2">
        <v>15</v>
      </c>
      <c r="I739" s="2">
        <v>2560.9699999999998</v>
      </c>
      <c r="J739" s="2" t="s">
        <v>18</v>
      </c>
      <c r="K739" s="2" t="s">
        <v>19</v>
      </c>
      <c r="L739" s="2" t="s">
        <v>47</v>
      </c>
      <c r="M739" s="2" t="s">
        <v>48</v>
      </c>
      <c r="N739" s="2" t="s">
        <v>1049</v>
      </c>
      <c r="O739" s="2" t="s">
        <v>1063</v>
      </c>
      <c r="P739" t="s">
        <v>1079</v>
      </c>
      <c r="Q739">
        <v>2025</v>
      </c>
    </row>
    <row r="740" spans="1:17" x14ac:dyDescent="0.25">
      <c r="A740" s="1" t="s">
        <v>964</v>
      </c>
      <c r="B740" s="3">
        <v>45825</v>
      </c>
      <c r="C740" s="1" t="s">
        <v>196</v>
      </c>
      <c r="D740" s="1" t="s">
        <v>31</v>
      </c>
      <c r="E740" s="1" t="s">
        <v>16</v>
      </c>
      <c r="F740" s="2">
        <v>238.7</v>
      </c>
      <c r="G740" s="2" t="s">
        <v>98</v>
      </c>
      <c r="H740" s="2">
        <v>13</v>
      </c>
      <c r="I740" s="2">
        <v>3103.14</v>
      </c>
      <c r="J740" s="2" t="s">
        <v>63</v>
      </c>
      <c r="K740" s="2" t="s">
        <v>19</v>
      </c>
      <c r="L740" s="2" t="s">
        <v>35</v>
      </c>
      <c r="M740" s="2" t="s">
        <v>52</v>
      </c>
      <c r="N740" s="2" t="s">
        <v>1062</v>
      </c>
      <c r="O740" s="2" t="s">
        <v>1053</v>
      </c>
      <c r="P740" t="s">
        <v>1079</v>
      </c>
      <c r="Q740">
        <v>2025</v>
      </c>
    </row>
    <row r="741" spans="1:17" hidden="1" x14ac:dyDescent="0.25">
      <c r="A741" s="1" t="s">
        <v>965</v>
      </c>
      <c r="B741" s="3">
        <v>45358</v>
      </c>
      <c r="C741" s="1" t="s">
        <v>311</v>
      </c>
      <c r="D741" s="1" t="s">
        <v>24</v>
      </c>
      <c r="E741" s="1" t="s">
        <v>45</v>
      </c>
      <c r="F741" s="2">
        <v>216.78</v>
      </c>
      <c r="G741" s="2" t="s">
        <v>75</v>
      </c>
      <c r="H741" s="2">
        <v>9</v>
      </c>
      <c r="I741" s="2">
        <v>1951.01</v>
      </c>
      <c r="J741" s="2" t="s">
        <v>18</v>
      </c>
      <c r="K741" s="2" t="s">
        <v>34</v>
      </c>
      <c r="L741" s="2" t="s">
        <v>35</v>
      </c>
      <c r="M741" s="2" t="s">
        <v>126</v>
      </c>
      <c r="N741" s="2" t="s">
        <v>1054</v>
      </c>
      <c r="O741" s="2" t="s">
        <v>1047</v>
      </c>
      <c r="P741" t="s">
        <v>1079</v>
      </c>
      <c r="Q741">
        <v>2024</v>
      </c>
    </row>
    <row r="742" spans="1:17" hidden="1" x14ac:dyDescent="0.25">
      <c r="A742" s="1" t="s">
        <v>966</v>
      </c>
      <c r="B742" s="3">
        <v>45376</v>
      </c>
      <c r="C742" s="1" t="s">
        <v>152</v>
      </c>
      <c r="D742" s="1" t="s">
        <v>39</v>
      </c>
      <c r="E742" s="1" t="s">
        <v>67</v>
      </c>
      <c r="F742" s="2">
        <v>129.59</v>
      </c>
      <c r="G742" s="2" t="s">
        <v>136</v>
      </c>
      <c r="H742" s="2">
        <v>15</v>
      </c>
      <c r="I742" s="2">
        <v>1943.82</v>
      </c>
      <c r="J742" s="2" t="s">
        <v>18</v>
      </c>
      <c r="K742" s="2" t="s">
        <v>19</v>
      </c>
      <c r="L742" s="2" t="s">
        <v>41</v>
      </c>
      <c r="M742" s="2" t="s">
        <v>141</v>
      </c>
      <c r="N742" s="2" t="s">
        <v>1054</v>
      </c>
      <c r="O742" s="2" t="s">
        <v>1056</v>
      </c>
      <c r="P742" t="s">
        <v>1079</v>
      </c>
      <c r="Q742">
        <v>2024</v>
      </c>
    </row>
    <row r="743" spans="1:17" hidden="1" x14ac:dyDescent="0.25">
      <c r="A743" s="1" t="s">
        <v>967</v>
      </c>
      <c r="B743" s="3">
        <v>45590</v>
      </c>
      <c r="C743" s="1" t="s">
        <v>216</v>
      </c>
      <c r="D743" s="1" t="s">
        <v>24</v>
      </c>
      <c r="E743" s="1" t="s">
        <v>16</v>
      </c>
      <c r="F743" s="2">
        <v>403.5</v>
      </c>
      <c r="G743" s="2" t="s">
        <v>170</v>
      </c>
      <c r="H743" s="2">
        <v>6</v>
      </c>
      <c r="I743" s="2">
        <v>2421</v>
      </c>
      <c r="J743" s="2" t="s">
        <v>18</v>
      </c>
      <c r="K743" s="2" t="s">
        <v>34</v>
      </c>
      <c r="L743" s="2" t="s">
        <v>35</v>
      </c>
      <c r="M743" s="2" t="s">
        <v>52</v>
      </c>
      <c r="N743" s="2" t="s">
        <v>1046</v>
      </c>
      <c r="O743" s="2" t="s">
        <v>1058</v>
      </c>
      <c r="P743" t="s">
        <v>1079</v>
      </c>
      <c r="Q743">
        <v>2024</v>
      </c>
    </row>
    <row r="744" spans="1:17" hidden="1" x14ac:dyDescent="0.25">
      <c r="A744" s="1" t="s">
        <v>968</v>
      </c>
      <c r="B744" s="3">
        <v>45338</v>
      </c>
      <c r="C744" s="1" t="s">
        <v>324</v>
      </c>
      <c r="D744" s="1" t="s">
        <v>15</v>
      </c>
      <c r="E744" s="1" t="s">
        <v>25</v>
      </c>
      <c r="F744" s="2">
        <v>111.53</v>
      </c>
      <c r="G744" s="2" t="s">
        <v>17</v>
      </c>
      <c r="H744" s="2">
        <v>12</v>
      </c>
      <c r="I744" s="2">
        <v>1338.36</v>
      </c>
      <c r="J744" s="2" t="s">
        <v>33</v>
      </c>
      <c r="K744" s="2" t="s">
        <v>19</v>
      </c>
      <c r="L744" s="2" t="s">
        <v>20</v>
      </c>
      <c r="M744" s="2" t="s">
        <v>21</v>
      </c>
      <c r="N744" s="2" t="s">
        <v>1060</v>
      </c>
      <c r="O744" s="2" t="s">
        <v>1058</v>
      </c>
      <c r="P744" t="s">
        <v>1079</v>
      </c>
      <c r="Q744">
        <v>2024</v>
      </c>
    </row>
    <row r="745" spans="1:17" x14ac:dyDescent="0.25">
      <c r="A745" s="1" t="s">
        <v>969</v>
      </c>
      <c r="B745" s="3">
        <v>45796</v>
      </c>
      <c r="C745" s="1" t="s">
        <v>114</v>
      </c>
      <c r="D745" s="1" t="s">
        <v>24</v>
      </c>
      <c r="E745" s="1" t="s">
        <v>67</v>
      </c>
      <c r="F745" s="2">
        <v>153.01</v>
      </c>
      <c r="G745" s="2" t="s">
        <v>68</v>
      </c>
      <c r="H745" s="2">
        <v>12</v>
      </c>
      <c r="I745" s="2">
        <v>1836.14</v>
      </c>
      <c r="J745" s="2" t="s">
        <v>63</v>
      </c>
      <c r="K745" s="2" t="s">
        <v>19</v>
      </c>
      <c r="L745" s="2" t="s">
        <v>27</v>
      </c>
      <c r="M745" s="2" t="s">
        <v>28</v>
      </c>
      <c r="N745" s="2" t="s">
        <v>1057</v>
      </c>
      <c r="O745" s="2" t="s">
        <v>1056</v>
      </c>
      <c r="P745" t="s">
        <v>1079</v>
      </c>
      <c r="Q745">
        <v>2025</v>
      </c>
    </row>
    <row r="746" spans="1:17" hidden="1" x14ac:dyDescent="0.25">
      <c r="A746" s="1" t="s">
        <v>970</v>
      </c>
      <c r="B746" s="3">
        <v>45322</v>
      </c>
      <c r="C746" s="1" t="s">
        <v>971</v>
      </c>
      <c r="D746" s="1" t="s">
        <v>55</v>
      </c>
      <c r="E746" s="1" t="s">
        <v>71</v>
      </c>
      <c r="F746" s="2">
        <v>1264.6500000000001</v>
      </c>
      <c r="G746" s="2" t="s">
        <v>148</v>
      </c>
      <c r="H746" s="2">
        <v>1</v>
      </c>
      <c r="I746" s="2">
        <v>1264.6500000000001</v>
      </c>
      <c r="J746" s="2" t="s">
        <v>18</v>
      </c>
      <c r="K746" s="2" t="s">
        <v>34</v>
      </c>
      <c r="L746" s="2" t="s">
        <v>47</v>
      </c>
      <c r="M746" s="2" t="s">
        <v>48</v>
      </c>
      <c r="N746" s="2" t="s">
        <v>1050</v>
      </c>
      <c r="O746" s="2" t="s">
        <v>1059</v>
      </c>
      <c r="P746" t="s">
        <v>1079</v>
      </c>
      <c r="Q746">
        <v>2024</v>
      </c>
    </row>
    <row r="747" spans="1:17" hidden="1" x14ac:dyDescent="0.25">
      <c r="A747" s="1" t="s">
        <v>972</v>
      </c>
      <c r="B747" s="3">
        <v>45453</v>
      </c>
      <c r="C747" s="1" t="s">
        <v>235</v>
      </c>
      <c r="D747" s="1" t="s">
        <v>55</v>
      </c>
      <c r="E747" s="1" t="s">
        <v>71</v>
      </c>
      <c r="F747" s="2">
        <v>232.8</v>
      </c>
      <c r="G747" s="2" t="s">
        <v>56</v>
      </c>
      <c r="H747" s="2">
        <v>15</v>
      </c>
      <c r="I747" s="2">
        <v>3492</v>
      </c>
      <c r="J747" s="2" t="s">
        <v>18</v>
      </c>
      <c r="K747" s="2" t="s">
        <v>19</v>
      </c>
      <c r="L747" s="2" t="s">
        <v>41</v>
      </c>
      <c r="M747" s="2" t="s">
        <v>42</v>
      </c>
      <c r="N747" s="2" t="s">
        <v>1062</v>
      </c>
      <c r="O747" s="2" t="s">
        <v>1056</v>
      </c>
      <c r="P747" t="s">
        <v>1079</v>
      </c>
      <c r="Q747">
        <v>2024</v>
      </c>
    </row>
    <row r="748" spans="1:17" hidden="1" x14ac:dyDescent="0.25">
      <c r="A748" s="1" t="s">
        <v>973</v>
      </c>
      <c r="B748" s="3">
        <v>45442</v>
      </c>
      <c r="C748" s="1" t="s">
        <v>221</v>
      </c>
      <c r="D748" s="1" t="s">
        <v>24</v>
      </c>
      <c r="E748" s="1" t="s">
        <v>16</v>
      </c>
      <c r="F748" s="2">
        <v>301.05</v>
      </c>
      <c r="G748" s="2" t="s">
        <v>68</v>
      </c>
      <c r="H748" s="2">
        <v>8</v>
      </c>
      <c r="I748" s="2">
        <v>2408.41</v>
      </c>
      <c r="J748" s="2" t="s">
        <v>18</v>
      </c>
      <c r="K748" s="2" t="s">
        <v>34</v>
      </c>
      <c r="L748" s="2" t="s">
        <v>41</v>
      </c>
      <c r="M748" s="2" t="s">
        <v>76</v>
      </c>
      <c r="N748" s="2" t="s">
        <v>1057</v>
      </c>
      <c r="O748" s="2" t="s">
        <v>1047</v>
      </c>
      <c r="P748" t="s">
        <v>1079</v>
      </c>
      <c r="Q748">
        <v>2024</v>
      </c>
    </row>
    <row r="749" spans="1:17" x14ac:dyDescent="0.25">
      <c r="A749" s="1" t="s">
        <v>974</v>
      </c>
      <c r="B749" s="3">
        <v>45900</v>
      </c>
      <c r="C749" s="1" t="s">
        <v>975</v>
      </c>
      <c r="D749" s="1" t="s">
        <v>24</v>
      </c>
      <c r="E749" s="1" t="s">
        <v>45</v>
      </c>
      <c r="F749" s="2">
        <v>236.55</v>
      </c>
      <c r="G749" s="2" t="s">
        <v>68</v>
      </c>
      <c r="H749" s="2">
        <v>15</v>
      </c>
      <c r="I749" s="2">
        <v>3548.24</v>
      </c>
      <c r="J749" s="2" t="s">
        <v>18</v>
      </c>
      <c r="K749" s="2" t="s">
        <v>19</v>
      </c>
      <c r="L749" s="2" t="s">
        <v>41</v>
      </c>
      <c r="M749" s="2" t="s">
        <v>76</v>
      </c>
      <c r="N749" s="2" t="s">
        <v>1051</v>
      </c>
      <c r="O749" s="2" t="s">
        <v>1055</v>
      </c>
      <c r="P749" t="s">
        <v>1079</v>
      </c>
      <c r="Q749">
        <v>2025</v>
      </c>
    </row>
    <row r="750" spans="1:17" x14ac:dyDescent="0.25">
      <c r="A750" s="1" t="s">
        <v>976</v>
      </c>
      <c r="B750" s="3">
        <v>45676</v>
      </c>
      <c r="C750" s="1" t="s">
        <v>294</v>
      </c>
      <c r="D750" s="1" t="s">
        <v>55</v>
      </c>
      <c r="E750" s="1" t="s">
        <v>25</v>
      </c>
      <c r="F750" s="2">
        <v>319.99</v>
      </c>
      <c r="G750" s="2" t="s">
        <v>90</v>
      </c>
      <c r="H750" s="2">
        <v>10</v>
      </c>
      <c r="I750" s="2">
        <v>3199.85</v>
      </c>
      <c r="J750" s="2" t="s">
        <v>63</v>
      </c>
      <c r="K750" s="2" t="s">
        <v>19</v>
      </c>
      <c r="L750" s="2" t="s">
        <v>20</v>
      </c>
      <c r="M750" s="2" t="s">
        <v>21</v>
      </c>
      <c r="N750" s="2" t="s">
        <v>1050</v>
      </c>
      <c r="O750" s="2" t="s">
        <v>1055</v>
      </c>
      <c r="P750" t="s">
        <v>1079</v>
      </c>
      <c r="Q750">
        <v>2025</v>
      </c>
    </row>
    <row r="751" spans="1:17" hidden="1" x14ac:dyDescent="0.25">
      <c r="A751" s="1" t="s">
        <v>977</v>
      </c>
      <c r="B751" s="3">
        <v>45442</v>
      </c>
      <c r="C751" s="1" t="s">
        <v>173</v>
      </c>
      <c r="D751" s="1" t="s">
        <v>31</v>
      </c>
      <c r="E751" s="1" t="s">
        <v>45</v>
      </c>
      <c r="F751" s="2">
        <v>3742.86</v>
      </c>
      <c r="G751" s="2" t="s">
        <v>98</v>
      </c>
      <c r="H751" s="2">
        <v>1</v>
      </c>
      <c r="I751" s="2">
        <v>3742.86</v>
      </c>
      <c r="J751" s="2" t="s">
        <v>18</v>
      </c>
      <c r="K751" s="2" t="s">
        <v>19</v>
      </c>
      <c r="L751" s="2" t="s">
        <v>27</v>
      </c>
      <c r="M751" s="2" t="s">
        <v>161</v>
      </c>
      <c r="N751" s="2" t="s">
        <v>1057</v>
      </c>
      <c r="O751" s="2" t="s">
        <v>1047</v>
      </c>
      <c r="P751" t="s">
        <v>1079</v>
      </c>
      <c r="Q751">
        <v>2024</v>
      </c>
    </row>
    <row r="752" spans="1:17" x14ac:dyDescent="0.25">
      <c r="A752" s="1" t="s">
        <v>978</v>
      </c>
      <c r="B752" s="3">
        <v>45898</v>
      </c>
      <c r="C752" s="1" t="s">
        <v>531</v>
      </c>
      <c r="D752" s="1" t="s">
        <v>24</v>
      </c>
      <c r="E752" s="1" t="s">
        <v>71</v>
      </c>
      <c r="F752" s="2">
        <v>259.5</v>
      </c>
      <c r="G752" s="2" t="s">
        <v>170</v>
      </c>
      <c r="H752" s="2">
        <v>8</v>
      </c>
      <c r="I752" s="2">
        <v>2076</v>
      </c>
      <c r="J752" s="2" t="s">
        <v>18</v>
      </c>
      <c r="K752" s="2" t="s">
        <v>34</v>
      </c>
      <c r="L752" s="2" t="s">
        <v>47</v>
      </c>
      <c r="M752" s="2" t="s">
        <v>85</v>
      </c>
      <c r="N752" s="2" t="s">
        <v>1051</v>
      </c>
      <c r="O752" s="2" t="s">
        <v>1058</v>
      </c>
      <c r="P752" t="s">
        <v>1079</v>
      </c>
      <c r="Q752">
        <v>2025</v>
      </c>
    </row>
    <row r="753" spans="1:17" hidden="1" x14ac:dyDescent="0.25">
      <c r="A753" s="1" t="s">
        <v>979</v>
      </c>
      <c r="B753" s="3">
        <v>45571</v>
      </c>
      <c r="C753" s="1" t="s">
        <v>290</v>
      </c>
      <c r="D753" s="1" t="s">
        <v>31</v>
      </c>
      <c r="E753" s="1" t="s">
        <v>45</v>
      </c>
      <c r="F753" s="2">
        <v>27.76</v>
      </c>
      <c r="G753" s="2" t="s">
        <v>46</v>
      </c>
      <c r="H753" s="2">
        <v>92</v>
      </c>
      <c r="I753" s="2">
        <v>2553.62</v>
      </c>
      <c r="J753" s="2" t="s">
        <v>18</v>
      </c>
      <c r="K753" s="2" t="s">
        <v>19</v>
      </c>
      <c r="L753" s="2" t="s">
        <v>27</v>
      </c>
      <c r="M753" s="2" t="s">
        <v>59</v>
      </c>
      <c r="N753" s="2" t="s">
        <v>1046</v>
      </c>
      <c r="O753" s="2" t="s">
        <v>1055</v>
      </c>
      <c r="P753" t="s">
        <v>1079</v>
      </c>
      <c r="Q753">
        <v>2024</v>
      </c>
    </row>
    <row r="754" spans="1:17" hidden="1" x14ac:dyDescent="0.25">
      <c r="A754" s="1" t="s">
        <v>980</v>
      </c>
      <c r="B754" s="3">
        <v>45602</v>
      </c>
      <c r="C754" s="1" t="s">
        <v>118</v>
      </c>
      <c r="D754" s="1" t="s">
        <v>24</v>
      </c>
      <c r="E754" s="1" t="s">
        <v>67</v>
      </c>
      <c r="F754" s="2">
        <v>202.92</v>
      </c>
      <c r="G754" s="2" t="s">
        <v>68</v>
      </c>
      <c r="H754" s="2">
        <v>8</v>
      </c>
      <c r="I754" s="2">
        <v>1623.35</v>
      </c>
      <c r="J754" s="2" t="s">
        <v>63</v>
      </c>
      <c r="K754" s="2" t="s">
        <v>34</v>
      </c>
      <c r="L754" s="2" t="s">
        <v>35</v>
      </c>
      <c r="M754" s="2" t="s">
        <v>52</v>
      </c>
      <c r="N754" s="2" t="s">
        <v>1064</v>
      </c>
      <c r="O754" s="2" t="s">
        <v>1059</v>
      </c>
      <c r="P754" t="s">
        <v>1079</v>
      </c>
      <c r="Q754">
        <v>2024</v>
      </c>
    </row>
    <row r="755" spans="1:17" x14ac:dyDescent="0.25">
      <c r="A755" s="1" t="s">
        <v>981</v>
      </c>
      <c r="B755" s="3">
        <v>45696</v>
      </c>
      <c r="C755" s="1" t="s">
        <v>152</v>
      </c>
      <c r="D755" s="1" t="s">
        <v>39</v>
      </c>
      <c r="E755" s="1" t="s">
        <v>16</v>
      </c>
      <c r="F755" s="2">
        <v>172.45</v>
      </c>
      <c r="G755" s="2" t="s">
        <v>93</v>
      </c>
      <c r="H755" s="2">
        <v>12</v>
      </c>
      <c r="I755" s="2">
        <v>2069.4299999999998</v>
      </c>
      <c r="J755" s="2" t="s">
        <v>18</v>
      </c>
      <c r="K755" s="2" t="s">
        <v>19</v>
      </c>
      <c r="L755" s="2" t="s">
        <v>41</v>
      </c>
      <c r="M755" s="2" t="s">
        <v>76</v>
      </c>
      <c r="N755" s="2" t="s">
        <v>1060</v>
      </c>
      <c r="O755" s="2" t="s">
        <v>1063</v>
      </c>
      <c r="P755" t="s">
        <v>1079</v>
      </c>
      <c r="Q755">
        <v>2025</v>
      </c>
    </row>
    <row r="756" spans="1:17" hidden="1" x14ac:dyDescent="0.25">
      <c r="A756" s="1" t="s">
        <v>982</v>
      </c>
      <c r="B756" s="3">
        <v>45532</v>
      </c>
      <c r="C756" s="1" t="s">
        <v>983</v>
      </c>
      <c r="D756" s="1" t="s">
        <v>15</v>
      </c>
      <c r="E756" s="1" t="s">
        <v>25</v>
      </c>
      <c r="F756" s="2">
        <v>98.35</v>
      </c>
      <c r="G756" s="2" t="s">
        <v>51</v>
      </c>
      <c r="H756" s="2">
        <v>17</v>
      </c>
      <c r="I756" s="2">
        <v>1672</v>
      </c>
      <c r="J756" s="2" t="s">
        <v>18</v>
      </c>
      <c r="K756" s="2" t="s">
        <v>19</v>
      </c>
      <c r="L756" s="2" t="s">
        <v>20</v>
      </c>
      <c r="M756" s="2" t="s">
        <v>21</v>
      </c>
      <c r="N756" s="2" t="s">
        <v>1051</v>
      </c>
      <c r="O756" s="2" t="s">
        <v>1059</v>
      </c>
      <c r="P756" t="s">
        <v>1079</v>
      </c>
      <c r="Q756">
        <v>2024</v>
      </c>
    </row>
    <row r="757" spans="1:17" x14ac:dyDescent="0.25">
      <c r="A757" s="1" t="s">
        <v>984</v>
      </c>
      <c r="B757" s="3">
        <v>45890</v>
      </c>
      <c r="C757" s="1" t="s">
        <v>173</v>
      </c>
      <c r="D757" s="1" t="s">
        <v>31</v>
      </c>
      <c r="E757" s="1" t="s">
        <v>16</v>
      </c>
      <c r="F757" s="2">
        <v>349.5</v>
      </c>
      <c r="G757" s="2" t="s">
        <v>98</v>
      </c>
      <c r="H757" s="2">
        <v>6</v>
      </c>
      <c r="I757" s="2">
        <v>2097</v>
      </c>
      <c r="J757" s="2" t="s">
        <v>18</v>
      </c>
      <c r="K757" s="2" t="s">
        <v>34</v>
      </c>
      <c r="L757" s="2" t="s">
        <v>27</v>
      </c>
      <c r="M757" s="2" t="s">
        <v>59</v>
      </c>
      <c r="N757" s="2" t="s">
        <v>1051</v>
      </c>
      <c r="O757" s="2" t="s">
        <v>1047</v>
      </c>
      <c r="P757" t="s">
        <v>1079</v>
      </c>
      <c r="Q757">
        <v>2025</v>
      </c>
    </row>
    <row r="758" spans="1:17" hidden="1" x14ac:dyDescent="0.25">
      <c r="A758" s="1" t="s">
        <v>985</v>
      </c>
      <c r="B758" s="3">
        <v>45378</v>
      </c>
      <c r="C758" s="1" t="s">
        <v>204</v>
      </c>
      <c r="D758" s="1" t="s">
        <v>39</v>
      </c>
      <c r="E758" s="1" t="s">
        <v>25</v>
      </c>
      <c r="F758" s="2">
        <v>20.86</v>
      </c>
      <c r="G758" s="2" t="s">
        <v>40</v>
      </c>
      <c r="H758" s="2">
        <v>119</v>
      </c>
      <c r="I758" s="2">
        <v>2482.5500000000002</v>
      </c>
      <c r="J758" s="2" t="s">
        <v>63</v>
      </c>
      <c r="K758" s="2" t="s">
        <v>19</v>
      </c>
      <c r="L758" s="2" t="s">
        <v>47</v>
      </c>
      <c r="M758" s="2" t="s">
        <v>85</v>
      </c>
      <c r="N758" s="2" t="s">
        <v>1054</v>
      </c>
      <c r="O758" s="2" t="s">
        <v>1059</v>
      </c>
      <c r="P758" t="s">
        <v>1079</v>
      </c>
      <c r="Q758">
        <v>2024</v>
      </c>
    </row>
    <row r="759" spans="1:17" x14ac:dyDescent="0.25">
      <c r="A759" s="1" t="s">
        <v>986</v>
      </c>
      <c r="B759" s="3">
        <v>45847</v>
      </c>
      <c r="C759" s="1" t="s">
        <v>294</v>
      </c>
      <c r="D759" s="1" t="s">
        <v>15</v>
      </c>
      <c r="E759" s="1" t="s">
        <v>71</v>
      </c>
      <c r="F759" s="2">
        <v>395.22</v>
      </c>
      <c r="G759" s="2" t="s">
        <v>51</v>
      </c>
      <c r="H759" s="2">
        <v>9</v>
      </c>
      <c r="I759" s="2">
        <v>3557</v>
      </c>
      <c r="J759" s="2" t="s">
        <v>18</v>
      </c>
      <c r="K759" s="2" t="s">
        <v>19</v>
      </c>
      <c r="L759" s="2" t="s">
        <v>20</v>
      </c>
      <c r="M759" s="2" t="s">
        <v>64</v>
      </c>
      <c r="N759" s="2" t="s">
        <v>1052</v>
      </c>
      <c r="O759" s="2" t="s">
        <v>1059</v>
      </c>
      <c r="P759" t="s">
        <v>1079</v>
      </c>
      <c r="Q759">
        <v>2025</v>
      </c>
    </row>
    <row r="760" spans="1:17" hidden="1" x14ac:dyDescent="0.25">
      <c r="A760" s="1" t="s">
        <v>987</v>
      </c>
      <c r="B760" s="3">
        <v>45654</v>
      </c>
      <c r="C760" s="1" t="s">
        <v>58</v>
      </c>
      <c r="D760" s="1" t="s">
        <v>39</v>
      </c>
      <c r="E760" s="1" t="s">
        <v>16</v>
      </c>
      <c r="F760" s="2">
        <v>117.71</v>
      </c>
      <c r="G760" s="2" t="s">
        <v>72</v>
      </c>
      <c r="H760" s="2">
        <v>11</v>
      </c>
      <c r="I760" s="2">
        <v>1294.8599999999999</v>
      </c>
      <c r="J760" s="2" t="s">
        <v>18</v>
      </c>
      <c r="K760" s="2" t="s">
        <v>19</v>
      </c>
      <c r="L760" s="2" t="s">
        <v>41</v>
      </c>
      <c r="M760" s="2" t="s">
        <v>42</v>
      </c>
      <c r="N760" s="2" t="s">
        <v>1061</v>
      </c>
      <c r="O760" s="2" t="s">
        <v>1063</v>
      </c>
      <c r="P760" t="s">
        <v>1079</v>
      </c>
      <c r="Q760">
        <v>2024</v>
      </c>
    </row>
    <row r="761" spans="1:17" x14ac:dyDescent="0.25">
      <c r="A761" s="1" t="s">
        <v>988</v>
      </c>
      <c r="B761" s="3">
        <v>45885</v>
      </c>
      <c r="C761" s="1" t="s">
        <v>44</v>
      </c>
      <c r="D761" s="1" t="s">
        <v>24</v>
      </c>
      <c r="E761" s="1" t="s">
        <v>25</v>
      </c>
      <c r="F761" s="2">
        <v>95.69</v>
      </c>
      <c r="G761" s="2" t="s">
        <v>75</v>
      </c>
      <c r="H761" s="2">
        <v>13</v>
      </c>
      <c r="I761" s="2">
        <v>1244.01</v>
      </c>
      <c r="J761" s="2" t="s">
        <v>63</v>
      </c>
      <c r="K761" s="2" t="s">
        <v>19</v>
      </c>
      <c r="L761" s="2" t="s">
        <v>27</v>
      </c>
      <c r="M761" s="2" t="s">
        <v>59</v>
      </c>
      <c r="N761" s="2" t="s">
        <v>1051</v>
      </c>
      <c r="O761" s="2" t="s">
        <v>1063</v>
      </c>
      <c r="P761" t="s">
        <v>1079</v>
      </c>
      <c r="Q761">
        <v>2025</v>
      </c>
    </row>
    <row r="762" spans="1:17" hidden="1" x14ac:dyDescent="0.25">
      <c r="A762" s="1" t="s">
        <v>989</v>
      </c>
      <c r="B762" s="3">
        <v>45323</v>
      </c>
      <c r="C762" s="1" t="s">
        <v>70</v>
      </c>
      <c r="D762" s="1" t="s">
        <v>31</v>
      </c>
      <c r="E762" s="1" t="s">
        <v>25</v>
      </c>
      <c r="F762" s="2">
        <v>159.29</v>
      </c>
      <c r="G762" s="2" t="s">
        <v>98</v>
      </c>
      <c r="H762" s="2">
        <v>10</v>
      </c>
      <c r="I762" s="2">
        <v>1592.88</v>
      </c>
      <c r="J762" s="2" t="s">
        <v>18</v>
      </c>
      <c r="K762" s="2" t="s">
        <v>34</v>
      </c>
      <c r="L762" s="2" t="s">
        <v>35</v>
      </c>
      <c r="M762" s="2" t="s">
        <v>52</v>
      </c>
      <c r="N762" s="2" t="s">
        <v>1060</v>
      </c>
      <c r="O762" s="2" t="s">
        <v>1047</v>
      </c>
      <c r="P762" t="s">
        <v>1079</v>
      </c>
      <c r="Q762">
        <v>2024</v>
      </c>
    </row>
    <row r="763" spans="1:17" x14ac:dyDescent="0.25">
      <c r="A763" s="1" t="s">
        <v>990</v>
      </c>
      <c r="B763" s="3">
        <v>45693</v>
      </c>
      <c r="C763" s="1" t="s">
        <v>23</v>
      </c>
      <c r="D763" s="1" t="s">
        <v>24</v>
      </c>
      <c r="E763" s="1" t="s">
        <v>45</v>
      </c>
      <c r="F763" s="2">
        <v>46.02</v>
      </c>
      <c r="G763" s="2" t="s">
        <v>75</v>
      </c>
      <c r="H763" s="2">
        <v>14</v>
      </c>
      <c r="I763" s="2">
        <v>644.32000000000005</v>
      </c>
      <c r="J763" s="2" t="s">
        <v>18</v>
      </c>
      <c r="K763" s="2" t="s">
        <v>19</v>
      </c>
      <c r="L763" s="2" t="s">
        <v>47</v>
      </c>
      <c r="M763" s="2" t="s">
        <v>153</v>
      </c>
      <c r="N763" s="2" t="s">
        <v>1060</v>
      </c>
      <c r="O763" s="2" t="s">
        <v>1059</v>
      </c>
      <c r="P763" t="s">
        <v>1079</v>
      </c>
      <c r="Q763">
        <v>2025</v>
      </c>
    </row>
    <row r="764" spans="1:17" hidden="1" x14ac:dyDescent="0.25">
      <c r="A764" s="1" t="s">
        <v>991</v>
      </c>
      <c r="B764" s="3">
        <v>45475</v>
      </c>
      <c r="C764" s="1" t="s">
        <v>992</v>
      </c>
      <c r="D764" s="1" t="s">
        <v>55</v>
      </c>
      <c r="E764" s="1" t="s">
        <v>71</v>
      </c>
      <c r="F764" s="2">
        <v>6.86</v>
      </c>
      <c r="G764" s="2" t="s">
        <v>79</v>
      </c>
      <c r="H764" s="2">
        <v>120</v>
      </c>
      <c r="I764" s="2">
        <v>823.78</v>
      </c>
      <c r="J764" s="2" t="s">
        <v>63</v>
      </c>
      <c r="K764" s="2" t="s">
        <v>19</v>
      </c>
      <c r="L764" s="2" t="s">
        <v>27</v>
      </c>
      <c r="M764" s="2" t="s">
        <v>59</v>
      </c>
      <c r="N764" s="2" t="s">
        <v>1052</v>
      </c>
      <c r="O764" s="2" t="s">
        <v>1053</v>
      </c>
      <c r="P764" t="s">
        <v>1079</v>
      </c>
      <c r="Q764">
        <v>2024</v>
      </c>
    </row>
    <row r="765" spans="1:17" hidden="1" x14ac:dyDescent="0.25">
      <c r="A765" s="1" t="s">
        <v>993</v>
      </c>
      <c r="B765" s="3">
        <v>45601</v>
      </c>
      <c r="C765" s="1" t="s">
        <v>994</v>
      </c>
      <c r="D765" s="1" t="s">
        <v>15</v>
      </c>
      <c r="E765" s="1" t="s">
        <v>25</v>
      </c>
      <c r="F765" s="2">
        <v>197.49</v>
      </c>
      <c r="G765" s="2" t="s">
        <v>82</v>
      </c>
      <c r="H765" s="2">
        <v>12</v>
      </c>
      <c r="I765" s="2">
        <v>2369.88</v>
      </c>
      <c r="J765" s="2" t="s">
        <v>18</v>
      </c>
      <c r="K765" s="2" t="s">
        <v>19</v>
      </c>
      <c r="L765" s="2" t="s">
        <v>35</v>
      </c>
      <c r="M765" s="2" t="s">
        <v>36</v>
      </c>
      <c r="N765" s="2" t="s">
        <v>1064</v>
      </c>
      <c r="O765" s="2" t="s">
        <v>1053</v>
      </c>
      <c r="P765" t="s">
        <v>1079</v>
      </c>
      <c r="Q765">
        <v>2024</v>
      </c>
    </row>
    <row r="766" spans="1:17" hidden="1" x14ac:dyDescent="0.25">
      <c r="A766" s="1" t="s">
        <v>995</v>
      </c>
      <c r="B766" s="3">
        <v>45387</v>
      </c>
      <c r="C766" s="1" t="s">
        <v>462</v>
      </c>
      <c r="D766" s="1" t="s">
        <v>15</v>
      </c>
      <c r="E766" s="1" t="s">
        <v>71</v>
      </c>
      <c r="F766" s="2">
        <v>212.21</v>
      </c>
      <c r="G766" s="2" t="s">
        <v>62</v>
      </c>
      <c r="H766" s="2">
        <v>16</v>
      </c>
      <c r="I766" s="2">
        <v>3395.38</v>
      </c>
      <c r="J766" s="2" t="s">
        <v>63</v>
      </c>
      <c r="K766" s="2" t="s">
        <v>19</v>
      </c>
      <c r="L766" s="2" t="s">
        <v>27</v>
      </c>
      <c r="M766" s="2" t="s">
        <v>161</v>
      </c>
      <c r="N766" s="2" t="s">
        <v>1048</v>
      </c>
      <c r="O766" s="2" t="s">
        <v>1058</v>
      </c>
      <c r="P766" t="s">
        <v>1079</v>
      </c>
      <c r="Q766">
        <v>2024</v>
      </c>
    </row>
    <row r="767" spans="1:17" x14ac:dyDescent="0.25">
      <c r="A767" s="1" t="s">
        <v>996</v>
      </c>
      <c r="B767" s="3">
        <v>45733</v>
      </c>
      <c r="C767" s="1" t="s">
        <v>360</v>
      </c>
      <c r="D767" s="1" t="s">
        <v>55</v>
      </c>
      <c r="E767" s="1" t="s">
        <v>16</v>
      </c>
      <c r="F767" s="2">
        <v>67.180000000000007</v>
      </c>
      <c r="G767" s="2" t="s">
        <v>56</v>
      </c>
      <c r="H767" s="2">
        <v>11</v>
      </c>
      <c r="I767" s="2">
        <v>739</v>
      </c>
      <c r="J767" s="2" t="s">
        <v>18</v>
      </c>
      <c r="K767" s="2" t="s">
        <v>19</v>
      </c>
      <c r="L767" s="2" t="s">
        <v>20</v>
      </c>
      <c r="M767" s="2" t="s">
        <v>21</v>
      </c>
      <c r="N767" s="2" t="s">
        <v>1054</v>
      </c>
      <c r="O767" s="2" t="s">
        <v>1056</v>
      </c>
      <c r="P767" t="s">
        <v>1079</v>
      </c>
      <c r="Q767">
        <v>2025</v>
      </c>
    </row>
    <row r="768" spans="1:17" hidden="1" x14ac:dyDescent="0.25">
      <c r="A768" s="1" t="s">
        <v>997</v>
      </c>
      <c r="B768" s="3">
        <v>45328</v>
      </c>
      <c r="C768" s="1" t="s">
        <v>181</v>
      </c>
      <c r="D768" s="1" t="s">
        <v>39</v>
      </c>
      <c r="E768" s="1" t="s">
        <v>45</v>
      </c>
      <c r="F768" s="2">
        <v>102.11</v>
      </c>
      <c r="G768" s="2" t="s">
        <v>40</v>
      </c>
      <c r="H768" s="2">
        <v>9</v>
      </c>
      <c r="I768" s="2">
        <v>919</v>
      </c>
      <c r="J768" s="2" t="s">
        <v>18</v>
      </c>
      <c r="K768" s="2" t="s">
        <v>34</v>
      </c>
      <c r="L768" s="2" t="s">
        <v>20</v>
      </c>
      <c r="M768" s="2" t="s">
        <v>88</v>
      </c>
      <c r="N768" s="2" t="s">
        <v>1060</v>
      </c>
      <c r="O768" s="2" t="s">
        <v>1053</v>
      </c>
      <c r="P768" t="s">
        <v>1079</v>
      </c>
      <c r="Q768">
        <v>2024</v>
      </c>
    </row>
    <row r="769" spans="1:17" x14ac:dyDescent="0.25">
      <c r="A769" s="1" t="s">
        <v>998</v>
      </c>
      <c r="B769" s="3">
        <v>45781</v>
      </c>
      <c r="C769" s="1" t="s">
        <v>128</v>
      </c>
      <c r="D769" s="1" t="s">
        <v>55</v>
      </c>
      <c r="E769" s="1" t="s">
        <v>16</v>
      </c>
      <c r="F769" s="2">
        <v>276.44</v>
      </c>
      <c r="G769" s="2" t="s">
        <v>148</v>
      </c>
      <c r="H769" s="2">
        <v>13</v>
      </c>
      <c r="I769" s="2">
        <v>3593.75</v>
      </c>
      <c r="J769" s="2" t="s">
        <v>18</v>
      </c>
      <c r="K769" s="2" t="s">
        <v>19</v>
      </c>
      <c r="L769" s="2" t="s">
        <v>35</v>
      </c>
      <c r="M769" s="2" t="s">
        <v>52</v>
      </c>
      <c r="N769" s="2" t="s">
        <v>1057</v>
      </c>
      <c r="O769" s="2" t="s">
        <v>1055</v>
      </c>
      <c r="P769" t="s">
        <v>1079</v>
      </c>
      <c r="Q769">
        <v>2025</v>
      </c>
    </row>
    <row r="770" spans="1:17" hidden="1" x14ac:dyDescent="0.25">
      <c r="A770" s="1" t="s">
        <v>999</v>
      </c>
      <c r="B770" s="3">
        <v>45521</v>
      </c>
      <c r="C770" s="1" t="s">
        <v>133</v>
      </c>
      <c r="D770" s="1" t="s">
        <v>39</v>
      </c>
      <c r="E770" s="1" t="s">
        <v>16</v>
      </c>
      <c r="F770" s="2">
        <v>147.44999999999999</v>
      </c>
      <c r="G770" s="2" t="s">
        <v>72</v>
      </c>
      <c r="H770" s="2">
        <v>10</v>
      </c>
      <c r="I770" s="2">
        <v>1474.52</v>
      </c>
      <c r="J770" s="2" t="s">
        <v>63</v>
      </c>
      <c r="K770" s="2" t="s">
        <v>34</v>
      </c>
      <c r="L770" s="2" t="s">
        <v>27</v>
      </c>
      <c r="M770" s="2" t="s">
        <v>28</v>
      </c>
      <c r="N770" s="2" t="s">
        <v>1051</v>
      </c>
      <c r="O770" s="2" t="s">
        <v>1063</v>
      </c>
      <c r="P770" t="s">
        <v>1079</v>
      </c>
      <c r="Q770">
        <v>2024</v>
      </c>
    </row>
    <row r="771" spans="1:17" hidden="1" x14ac:dyDescent="0.25">
      <c r="A771" s="1" t="s">
        <v>1000</v>
      </c>
      <c r="B771" s="3">
        <v>45333</v>
      </c>
      <c r="C771" s="1" t="s">
        <v>308</v>
      </c>
      <c r="D771" s="1" t="s">
        <v>55</v>
      </c>
      <c r="E771" s="1" t="s">
        <v>25</v>
      </c>
      <c r="F771" s="2">
        <v>137.15</v>
      </c>
      <c r="G771" s="2" t="s">
        <v>79</v>
      </c>
      <c r="H771" s="2">
        <v>12</v>
      </c>
      <c r="I771" s="2">
        <v>1645.79</v>
      </c>
      <c r="J771" s="2" t="s">
        <v>18</v>
      </c>
      <c r="K771" s="2" t="s">
        <v>19</v>
      </c>
      <c r="L771" s="2" t="s">
        <v>27</v>
      </c>
      <c r="M771" s="2" t="s">
        <v>59</v>
      </c>
      <c r="N771" s="2" t="s">
        <v>1060</v>
      </c>
      <c r="O771" s="2" t="s">
        <v>1055</v>
      </c>
      <c r="P771" t="s">
        <v>1079</v>
      </c>
      <c r="Q771">
        <v>2024</v>
      </c>
    </row>
    <row r="772" spans="1:17" hidden="1" x14ac:dyDescent="0.25">
      <c r="A772" s="1" t="s">
        <v>1001</v>
      </c>
      <c r="B772" s="3">
        <v>45305</v>
      </c>
      <c r="C772" s="1" t="s">
        <v>175</v>
      </c>
      <c r="D772" s="1" t="s">
        <v>55</v>
      </c>
      <c r="E772" s="1" t="s">
        <v>71</v>
      </c>
      <c r="F772" s="2">
        <v>88.4</v>
      </c>
      <c r="G772" s="2" t="s">
        <v>148</v>
      </c>
      <c r="H772" s="2">
        <v>16</v>
      </c>
      <c r="I772" s="2">
        <v>1414.47</v>
      </c>
      <c r="J772" s="2" t="s">
        <v>18</v>
      </c>
      <c r="K772" s="2" t="s">
        <v>19</v>
      </c>
      <c r="L772" s="2" t="s">
        <v>35</v>
      </c>
      <c r="M772" s="2" t="s">
        <v>126</v>
      </c>
      <c r="N772" s="2" t="s">
        <v>1050</v>
      </c>
      <c r="O772" s="2" t="s">
        <v>1055</v>
      </c>
      <c r="P772" t="s">
        <v>1079</v>
      </c>
      <c r="Q772">
        <v>2024</v>
      </c>
    </row>
    <row r="773" spans="1:17" hidden="1" x14ac:dyDescent="0.25">
      <c r="A773" s="1" t="s">
        <v>1002</v>
      </c>
      <c r="B773" s="3">
        <v>45657</v>
      </c>
      <c r="C773" s="1" t="s">
        <v>254</v>
      </c>
      <c r="D773" s="1" t="s">
        <v>24</v>
      </c>
      <c r="E773" s="1" t="s">
        <v>71</v>
      </c>
      <c r="F773" s="2">
        <v>81.28</v>
      </c>
      <c r="G773" s="2" t="s">
        <v>26</v>
      </c>
      <c r="H773" s="2">
        <v>16</v>
      </c>
      <c r="I773" s="2">
        <v>1300.49</v>
      </c>
      <c r="J773" s="2" t="s">
        <v>18</v>
      </c>
      <c r="K773" s="2" t="s">
        <v>19</v>
      </c>
      <c r="L773" s="2" t="s">
        <v>41</v>
      </c>
      <c r="M773" s="2" t="s">
        <v>141</v>
      </c>
      <c r="N773" s="2" t="s">
        <v>1061</v>
      </c>
      <c r="O773" s="2" t="s">
        <v>1053</v>
      </c>
      <c r="P773" t="s">
        <v>1079</v>
      </c>
      <c r="Q773">
        <v>2024</v>
      </c>
    </row>
    <row r="774" spans="1:17" hidden="1" x14ac:dyDescent="0.25">
      <c r="A774" s="1" t="s">
        <v>1003</v>
      </c>
      <c r="B774" s="3">
        <v>45476</v>
      </c>
      <c r="C774" s="1" t="s">
        <v>108</v>
      </c>
      <c r="D774" s="1" t="s">
        <v>55</v>
      </c>
      <c r="E774" s="1" t="s">
        <v>67</v>
      </c>
      <c r="F774" s="2">
        <v>77</v>
      </c>
      <c r="G774" s="2" t="s">
        <v>79</v>
      </c>
      <c r="H774" s="2">
        <v>17</v>
      </c>
      <c r="I774" s="2">
        <v>1308.93</v>
      </c>
      <c r="J774" s="2" t="s">
        <v>63</v>
      </c>
      <c r="K774" s="2" t="s">
        <v>19</v>
      </c>
      <c r="L774" s="2" t="s">
        <v>20</v>
      </c>
      <c r="M774" s="2" t="s">
        <v>21</v>
      </c>
      <c r="N774" s="2" t="s">
        <v>1052</v>
      </c>
      <c r="O774" s="2" t="s">
        <v>1059</v>
      </c>
      <c r="P774" t="s">
        <v>1079</v>
      </c>
      <c r="Q774">
        <v>2024</v>
      </c>
    </row>
    <row r="775" spans="1:17" x14ac:dyDescent="0.25">
      <c r="A775" s="1" t="s">
        <v>1004</v>
      </c>
      <c r="B775" s="3">
        <v>45699</v>
      </c>
      <c r="C775" s="1" t="s">
        <v>292</v>
      </c>
      <c r="D775" s="1" t="s">
        <v>31</v>
      </c>
      <c r="E775" s="1" t="s">
        <v>16</v>
      </c>
      <c r="F775" s="2">
        <v>172.32</v>
      </c>
      <c r="G775" s="2" t="s">
        <v>98</v>
      </c>
      <c r="H775" s="2">
        <v>10</v>
      </c>
      <c r="I775" s="2">
        <v>1723.1999999999998</v>
      </c>
      <c r="J775" s="2" t="s">
        <v>33</v>
      </c>
      <c r="K775" s="2" t="s">
        <v>34</v>
      </c>
      <c r="L775" s="2" t="s">
        <v>27</v>
      </c>
      <c r="M775" s="2" t="s">
        <v>28</v>
      </c>
      <c r="N775" s="2" t="s">
        <v>1060</v>
      </c>
      <c r="O775" s="2" t="s">
        <v>1053</v>
      </c>
      <c r="P775" t="s">
        <v>1079</v>
      </c>
      <c r="Q775">
        <v>2025</v>
      </c>
    </row>
    <row r="776" spans="1:17" hidden="1" x14ac:dyDescent="0.25">
      <c r="A776" s="1" t="s">
        <v>1005</v>
      </c>
      <c r="B776" s="3">
        <v>45637</v>
      </c>
      <c r="C776" s="1" t="s">
        <v>256</v>
      </c>
      <c r="D776" s="1" t="s">
        <v>55</v>
      </c>
      <c r="E776" s="1" t="s">
        <v>71</v>
      </c>
      <c r="F776" s="2">
        <v>195.22</v>
      </c>
      <c r="G776" s="2" t="s">
        <v>90</v>
      </c>
      <c r="H776" s="2">
        <v>9</v>
      </c>
      <c r="I776" s="2">
        <v>1757</v>
      </c>
      <c r="J776" s="2" t="s">
        <v>33</v>
      </c>
      <c r="K776" s="2" t="s">
        <v>34</v>
      </c>
      <c r="L776" s="2" t="s">
        <v>20</v>
      </c>
      <c r="M776" s="2" t="s">
        <v>21</v>
      </c>
      <c r="N776" s="2" t="s">
        <v>1061</v>
      </c>
      <c r="O776" s="2" t="s">
        <v>1059</v>
      </c>
      <c r="P776" t="s">
        <v>1079</v>
      </c>
      <c r="Q776">
        <v>2024</v>
      </c>
    </row>
    <row r="777" spans="1:17" hidden="1" x14ac:dyDescent="0.25">
      <c r="A777" s="1" t="s">
        <v>1006</v>
      </c>
      <c r="B777" s="3">
        <v>45614</v>
      </c>
      <c r="C777" s="1" t="s">
        <v>54</v>
      </c>
      <c r="D777" s="1" t="s">
        <v>39</v>
      </c>
      <c r="E777" s="1" t="s">
        <v>45</v>
      </c>
      <c r="F777" s="2">
        <v>160.08000000000001</v>
      </c>
      <c r="G777" s="2" t="s">
        <v>136</v>
      </c>
      <c r="H777" s="2">
        <v>12</v>
      </c>
      <c r="I777" s="2">
        <v>1921</v>
      </c>
      <c r="J777" s="2" t="s">
        <v>18</v>
      </c>
      <c r="K777" s="2" t="s">
        <v>19</v>
      </c>
      <c r="L777" s="2" t="s">
        <v>20</v>
      </c>
      <c r="M777" s="2" t="s">
        <v>88</v>
      </c>
      <c r="N777" s="2" t="s">
        <v>1064</v>
      </c>
      <c r="O777" s="2" t="s">
        <v>1056</v>
      </c>
      <c r="P777" t="s">
        <v>1079</v>
      </c>
      <c r="Q777">
        <v>2024</v>
      </c>
    </row>
    <row r="778" spans="1:17" hidden="1" x14ac:dyDescent="0.25">
      <c r="A778" s="1" t="s">
        <v>1007</v>
      </c>
      <c r="B778" s="3">
        <v>45397</v>
      </c>
      <c r="C778" s="1" t="s">
        <v>294</v>
      </c>
      <c r="D778" s="1" t="s">
        <v>39</v>
      </c>
      <c r="E778" s="1" t="s">
        <v>67</v>
      </c>
      <c r="F778" s="2">
        <v>1530.58</v>
      </c>
      <c r="G778" s="2" t="s">
        <v>93</v>
      </c>
      <c r="H778" s="2">
        <v>3</v>
      </c>
      <c r="I778" s="2">
        <v>4591.7299999999996</v>
      </c>
      <c r="J778" s="2" t="s">
        <v>18</v>
      </c>
      <c r="K778" s="2" t="s">
        <v>19</v>
      </c>
      <c r="L778" s="2" t="s">
        <v>41</v>
      </c>
      <c r="M778" s="2" t="s">
        <v>76</v>
      </c>
      <c r="N778" s="2" t="s">
        <v>1048</v>
      </c>
      <c r="O778" s="2" t="s">
        <v>1056</v>
      </c>
      <c r="P778" t="s">
        <v>1078</v>
      </c>
      <c r="Q778">
        <v>2024</v>
      </c>
    </row>
    <row r="779" spans="1:17" x14ac:dyDescent="0.25">
      <c r="A779" s="1" t="s">
        <v>1008</v>
      </c>
      <c r="B779" s="3">
        <v>45866</v>
      </c>
      <c r="C779" s="1" t="s">
        <v>173</v>
      </c>
      <c r="D779" s="1" t="s">
        <v>55</v>
      </c>
      <c r="E779" s="1" t="s">
        <v>25</v>
      </c>
      <c r="F779" s="2">
        <v>96.75</v>
      </c>
      <c r="G779" s="2" t="s">
        <v>148</v>
      </c>
      <c r="H779" s="2">
        <v>14</v>
      </c>
      <c r="I779" s="2">
        <v>1354.56</v>
      </c>
      <c r="J779" s="2" t="s">
        <v>18</v>
      </c>
      <c r="K779" s="2" t="s">
        <v>19</v>
      </c>
      <c r="L779" s="2" t="s">
        <v>27</v>
      </c>
      <c r="M779" s="2" t="s">
        <v>59</v>
      </c>
      <c r="N779" s="2" t="s">
        <v>1052</v>
      </c>
      <c r="O779" s="2" t="s">
        <v>1056</v>
      </c>
      <c r="P779" t="s">
        <v>1079</v>
      </c>
      <c r="Q779">
        <v>2025</v>
      </c>
    </row>
    <row r="780" spans="1:17" hidden="1" x14ac:dyDescent="0.25">
      <c r="A780" s="1" t="s">
        <v>1009</v>
      </c>
      <c r="B780" s="3">
        <v>45630</v>
      </c>
      <c r="C780" s="1" t="s">
        <v>108</v>
      </c>
      <c r="D780" s="1" t="s">
        <v>55</v>
      </c>
      <c r="E780" s="1" t="s">
        <v>25</v>
      </c>
      <c r="F780" s="2">
        <v>72.930000000000007</v>
      </c>
      <c r="G780" s="2" t="s">
        <v>90</v>
      </c>
      <c r="H780" s="2">
        <v>14</v>
      </c>
      <c r="I780" s="2">
        <v>1021</v>
      </c>
      <c r="J780" s="2" t="s">
        <v>18</v>
      </c>
      <c r="K780" s="2" t="s">
        <v>19</v>
      </c>
      <c r="L780" s="2" t="s">
        <v>35</v>
      </c>
      <c r="M780" s="2" t="s">
        <v>126</v>
      </c>
      <c r="N780" s="2" t="s">
        <v>1061</v>
      </c>
      <c r="O780" s="2" t="s">
        <v>1059</v>
      </c>
      <c r="P780" t="s">
        <v>1079</v>
      </c>
      <c r="Q780">
        <v>2024</v>
      </c>
    </row>
    <row r="781" spans="1:17" hidden="1" x14ac:dyDescent="0.25">
      <c r="A781" s="1" t="s">
        <v>1010</v>
      </c>
      <c r="B781" s="3">
        <v>45469</v>
      </c>
      <c r="C781" s="1" t="s">
        <v>240</v>
      </c>
      <c r="D781" s="1" t="s">
        <v>24</v>
      </c>
      <c r="E781" s="1" t="s">
        <v>25</v>
      </c>
      <c r="F781" s="2">
        <v>322.93</v>
      </c>
      <c r="G781" s="2" t="s">
        <v>170</v>
      </c>
      <c r="H781" s="2">
        <v>10</v>
      </c>
      <c r="I781" s="2">
        <v>3229.32</v>
      </c>
      <c r="J781" s="2" t="s">
        <v>18</v>
      </c>
      <c r="K781" s="2" t="s">
        <v>19</v>
      </c>
      <c r="L781" s="2" t="s">
        <v>27</v>
      </c>
      <c r="M781" s="2" t="s">
        <v>59</v>
      </c>
      <c r="N781" s="2" t="s">
        <v>1062</v>
      </c>
      <c r="O781" s="2" t="s">
        <v>1059</v>
      </c>
      <c r="P781" t="s">
        <v>1079</v>
      </c>
      <c r="Q781">
        <v>2024</v>
      </c>
    </row>
    <row r="782" spans="1:17" x14ac:dyDescent="0.25">
      <c r="A782" s="1" t="s">
        <v>1011</v>
      </c>
      <c r="B782" s="3">
        <v>45738</v>
      </c>
      <c r="C782" s="1" t="s">
        <v>152</v>
      </c>
      <c r="D782" s="1" t="s">
        <v>55</v>
      </c>
      <c r="E782" s="1" t="s">
        <v>71</v>
      </c>
      <c r="F782" s="2">
        <v>163.65</v>
      </c>
      <c r="G782" s="2" t="s">
        <v>56</v>
      </c>
      <c r="H782" s="2">
        <v>14</v>
      </c>
      <c r="I782" s="2">
        <v>2291.06</v>
      </c>
      <c r="J782" s="2" t="s">
        <v>18</v>
      </c>
      <c r="K782" s="2" t="s">
        <v>19</v>
      </c>
      <c r="L782" s="2" t="s">
        <v>20</v>
      </c>
      <c r="M782" s="2" t="s">
        <v>64</v>
      </c>
      <c r="N782" s="2" t="s">
        <v>1054</v>
      </c>
      <c r="O782" s="2" t="s">
        <v>1063</v>
      </c>
      <c r="P782" t="s">
        <v>1079</v>
      </c>
      <c r="Q782">
        <v>2025</v>
      </c>
    </row>
    <row r="783" spans="1:17" hidden="1" x14ac:dyDescent="0.25">
      <c r="A783" s="1" t="s">
        <v>1012</v>
      </c>
      <c r="B783" s="3">
        <v>45479</v>
      </c>
      <c r="C783" s="1" t="s">
        <v>360</v>
      </c>
      <c r="D783" s="1" t="s">
        <v>55</v>
      </c>
      <c r="E783" s="1" t="s">
        <v>25</v>
      </c>
      <c r="F783" s="2">
        <v>125.3</v>
      </c>
      <c r="G783" s="2" t="s">
        <v>79</v>
      </c>
      <c r="H783" s="2">
        <v>10</v>
      </c>
      <c r="I783" s="2">
        <v>1253.02</v>
      </c>
      <c r="J783" s="2" t="s">
        <v>18</v>
      </c>
      <c r="K783" s="2" t="s">
        <v>34</v>
      </c>
      <c r="L783" s="2" t="s">
        <v>35</v>
      </c>
      <c r="M783" s="2" t="s">
        <v>52</v>
      </c>
      <c r="N783" s="2" t="s">
        <v>1052</v>
      </c>
      <c r="O783" s="2" t="s">
        <v>1063</v>
      </c>
      <c r="P783" t="s">
        <v>1079</v>
      </c>
      <c r="Q783">
        <v>2024</v>
      </c>
    </row>
    <row r="784" spans="1:17" hidden="1" x14ac:dyDescent="0.25">
      <c r="A784" s="1" t="s">
        <v>1013</v>
      </c>
      <c r="B784" s="3">
        <v>45305</v>
      </c>
      <c r="C784" s="1" t="s">
        <v>128</v>
      </c>
      <c r="D784" s="1" t="s">
        <v>39</v>
      </c>
      <c r="E784" s="1" t="s">
        <v>25</v>
      </c>
      <c r="F784" s="2">
        <v>207</v>
      </c>
      <c r="G784" s="2" t="s">
        <v>136</v>
      </c>
      <c r="H784" s="2">
        <v>9</v>
      </c>
      <c r="I784" s="2">
        <v>1862.99</v>
      </c>
      <c r="J784" s="2" t="s">
        <v>18</v>
      </c>
      <c r="K784" s="2" t="s">
        <v>34</v>
      </c>
      <c r="L784" s="2" t="s">
        <v>47</v>
      </c>
      <c r="M784" s="2" t="s">
        <v>85</v>
      </c>
      <c r="N784" s="2" t="s">
        <v>1050</v>
      </c>
      <c r="O784" s="2" t="s">
        <v>1055</v>
      </c>
      <c r="P784" t="s">
        <v>1079</v>
      </c>
      <c r="Q784">
        <v>2024</v>
      </c>
    </row>
    <row r="785" spans="1:17" x14ac:dyDescent="0.25">
      <c r="A785" s="1" t="s">
        <v>1014</v>
      </c>
      <c r="B785" s="3">
        <v>45733</v>
      </c>
      <c r="C785" s="1" t="s">
        <v>533</v>
      </c>
      <c r="D785" s="1" t="s">
        <v>39</v>
      </c>
      <c r="E785" s="1" t="s">
        <v>67</v>
      </c>
      <c r="F785" s="2">
        <v>211.64</v>
      </c>
      <c r="G785" s="2" t="s">
        <v>93</v>
      </c>
      <c r="H785" s="2">
        <v>10</v>
      </c>
      <c r="I785" s="2">
        <v>2116.37</v>
      </c>
      <c r="J785" s="2" t="s">
        <v>63</v>
      </c>
      <c r="K785" s="2" t="s">
        <v>34</v>
      </c>
      <c r="L785" s="2" t="s">
        <v>41</v>
      </c>
      <c r="M785" s="2" t="s">
        <v>141</v>
      </c>
      <c r="N785" s="2" t="s">
        <v>1054</v>
      </c>
      <c r="O785" s="2" t="s">
        <v>1056</v>
      </c>
      <c r="P785" t="s">
        <v>1079</v>
      </c>
      <c r="Q785">
        <v>2025</v>
      </c>
    </row>
    <row r="786" spans="1:17" x14ac:dyDescent="0.25">
      <c r="A786" s="1" t="s">
        <v>1015</v>
      </c>
      <c r="B786" s="3">
        <v>45692</v>
      </c>
      <c r="C786" s="1" t="s">
        <v>431</v>
      </c>
      <c r="D786" s="1" t="s">
        <v>55</v>
      </c>
      <c r="E786" s="1" t="s">
        <v>16</v>
      </c>
      <c r="F786" s="2">
        <v>115.33</v>
      </c>
      <c r="G786" s="2" t="s">
        <v>56</v>
      </c>
      <c r="H786" s="2">
        <v>15</v>
      </c>
      <c r="I786" s="2">
        <v>1730</v>
      </c>
      <c r="J786" s="2" t="s">
        <v>63</v>
      </c>
      <c r="K786" s="2" t="s">
        <v>19</v>
      </c>
      <c r="L786" s="2" t="s">
        <v>27</v>
      </c>
      <c r="M786" s="2" t="s">
        <v>59</v>
      </c>
      <c r="N786" s="2" t="s">
        <v>1060</v>
      </c>
      <c r="O786" s="2" t="s">
        <v>1053</v>
      </c>
      <c r="P786" t="s">
        <v>1079</v>
      </c>
      <c r="Q786">
        <v>2025</v>
      </c>
    </row>
    <row r="787" spans="1:17" hidden="1" x14ac:dyDescent="0.25">
      <c r="A787" s="1" t="s">
        <v>1016</v>
      </c>
      <c r="B787" s="3">
        <v>45511</v>
      </c>
      <c r="C787" s="1" t="s">
        <v>235</v>
      </c>
      <c r="D787" s="1" t="s">
        <v>39</v>
      </c>
      <c r="E787" s="1" t="s">
        <v>71</v>
      </c>
      <c r="F787" s="2">
        <v>152.4</v>
      </c>
      <c r="G787" s="2" t="s">
        <v>93</v>
      </c>
      <c r="H787" s="2">
        <v>10</v>
      </c>
      <c r="I787" s="2">
        <v>1524</v>
      </c>
      <c r="J787" s="2" t="s">
        <v>18</v>
      </c>
      <c r="K787" s="2" t="s">
        <v>34</v>
      </c>
      <c r="L787" s="2" t="s">
        <v>35</v>
      </c>
      <c r="M787" s="2" t="s">
        <v>126</v>
      </c>
      <c r="N787" s="2" t="s">
        <v>1051</v>
      </c>
      <c r="O787" s="2" t="s">
        <v>1059</v>
      </c>
      <c r="P787" t="s">
        <v>1079</v>
      </c>
      <c r="Q787">
        <v>2024</v>
      </c>
    </row>
    <row r="788" spans="1:17" x14ac:dyDescent="0.25">
      <c r="A788" s="1" t="s">
        <v>1017</v>
      </c>
      <c r="B788" s="3">
        <v>45730</v>
      </c>
      <c r="C788" s="1" t="s">
        <v>97</v>
      </c>
      <c r="D788" s="1" t="s">
        <v>55</v>
      </c>
      <c r="E788" s="1" t="s">
        <v>71</v>
      </c>
      <c r="F788" s="2">
        <v>160.5</v>
      </c>
      <c r="G788" s="2" t="s">
        <v>90</v>
      </c>
      <c r="H788" s="2">
        <v>5</v>
      </c>
      <c r="I788" s="2">
        <v>802.51</v>
      </c>
      <c r="J788" s="2" t="s">
        <v>18</v>
      </c>
      <c r="K788" s="2" t="s">
        <v>34</v>
      </c>
      <c r="L788" s="2" t="s">
        <v>35</v>
      </c>
      <c r="M788" s="2" t="s">
        <v>36</v>
      </c>
      <c r="N788" s="2" t="s">
        <v>1054</v>
      </c>
      <c r="O788" s="2" t="s">
        <v>1058</v>
      </c>
      <c r="P788" t="s">
        <v>1079</v>
      </c>
      <c r="Q788">
        <v>2025</v>
      </c>
    </row>
    <row r="789" spans="1:17" x14ac:dyDescent="0.25">
      <c r="A789" s="1" t="s">
        <v>1018</v>
      </c>
      <c r="B789" s="3">
        <v>45803</v>
      </c>
      <c r="C789" s="1" t="s">
        <v>121</v>
      </c>
      <c r="D789" s="1" t="s">
        <v>31</v>
      </c>
      <c r="E789" s="1" t="s">
        <v>71</v>
      </c>
      <c r="F789" s="2">
        <v>155.34</v>
      </c>
      <c r="G789" s="2" t="s">
        <v>32</v>
      </c>
      <c r="H789" s="2">
        <v>8</v>
      </c>
      <c r="I789" s="2">
        <v>1242.69</v>
      </c>
      <c r="J789" s="2" t="s">
        <v>18</v>
      </c>
      <c r="K789" s="2" t="s">
        <v>34</v>
      </c>
      <c r="L789" s="2" t="s">
        <v>35</v>
      </c>
      <c r="M789" s="2" t="s">
        <v>36</v>
      </c>
      <c r="N789" s="2" t="s">
        <v>1057</v>
      </c>
      <c r="O789" s="2" t="s">
        <v>1056</v>
      </c>
      <c r="P789" t="s">
        <v>1079</v>
      </c>
      <c r="Q789">
        <v>2025</v>
      </c>
    </row>
    <row r="790" spans="1:17" hidden="1" x14ac:dyDescent="0.25">
      <c r="A790" s="1" t="s">
        <v>1019</v>
      </c>
      <c r="B790" s="3">
        <v>45472</v>
      </c>
      <c r="C790" s="1" t="s">
        <v>992</v>
      </c>
      <c r="D790" s="1" t="s">
        <v>31</v>
      </c>
      <c r="E790" s="1" t="s">
        <v>71</v>
      </c>
      <c r="F790" s="2">
        <v>100.23</v>
      </c>
      <c r="G790" s="2" t="s">
        <v>31</v>
      </c>
      <c r="H790" s="2">
        <v>13</v>
      </c>
      <c r="I790" s="2">
        <v>1303</v>
      </c>
      <c r="J790" s="2" t="s">
        <v>18</v>
      </c>
      <c r="K790" s="2" t="s">
        <v>19</v>
      </c>
      <c r="L790" s="2" t="s">
        <v>35</v>
      </c>
      <c r="M790" s="2" t="s">
        <v>126</v>
      </c>
      <c r="N790" s="2" t="s">
        <v>1062</v>
      </c>
      <c r="O790" s="2" t="s">
        <v>1063</v>
      </c>
      <c r="P790" t="s">
        <v>1079</v>
      </c>
      <c r="Q790">
        <v>2024</v>
      </c>
    </row>
    <row r="791" spans="1:17" x14ac:dyDescent="0.25">
      <c r="A791" s="1" t="s">
        <v>1020</v>
      </c>
      <c r="B791" s="3">
        <v>45725</v>
      </c>
      <c r="C791" s="1" t="s">
        <v>453</v>
      </c>
      <c r="D791" s="1" t="s">
        <v>39</v>
      </c>
      <c r="E791" s="1" t="s">
        <v>25</v>
      </c>
      <c r="F791" s="2">
        <v>1900.05</v>
      </c>
      <c r="G791" s="2" t="s">
        <v>40</v>
      </c>
      <c r="H791" s="2">
        <v>1</v>
      </c>
      <c r="I791" s="2">
        <v>1900.05</v>
      </c>
      <c r="J791" s="2" t="s">
        <v>18</v>
      </c>
      <c r="K791" s="2" t="s">
        <v>34</v>
      </c>
      <c r="L791" s="2" t="s">
        <v>47</v>
      </c>
      <c r="M791" s="2" t="s">
        <v>85</v>
      </c>
      <c r="N791" s="2" t="s">
        <v>1054</v>
      </c>
      <c r="O791" s="2" t="s">
        <v>1055</v>
      </c>
      <c r="P791" t="s">
        <v>1079</v>
      </c>
      <c r="Q791">
        <v>2025</v>
      </c>
    </row>
    <row r="792" spans="1:17" hidden="1" x14ac:dyDescent="0.25">
      <c r="A792" s="1" t="s">
        <v>1021</v>
      </c>
      <c r="B792" s="3">
        <v>45546</v>
      </c>
      <c r="C792" s="1" t="s">
        <v>327</v>
      </c>
      <c r="D792" s="1" t="s">
        <v>31</v>
      </c>
      <c r="E792" s="1" t="s">
        <v>25</v>
      </c>
      <c r="F792" s="2">
        <v>176.51</v>
      </c>
      <c r="G792" s="2" t="s">
        <v>31</v>
      </c>
      <c r="H792" s="2">
        <v>16</v>
      </c>
      <c r="I792" s="2">
        <v>2824.15</v>
      </c>
      <c r="J792" s="2" t="s">
        <v>18</v>
      </c>
      <c r="K792" s="2" t="s">
        <v>19</v>
      </c>
      <c r="L792" s="2" t="s">
        <v>41</v>
      </c>
      <c r="M792" s="2" t="s">
        <v>42</v>
      </c>
      <c r="N792" s="2" t="s">
        <v>1049</v>
      </c>
      <c r="O792" s="2" t="s">
        <v>1059</v>
      </c>
      <c r="P792" t="s">
        <v>1079</v>
      </c>
      <c r="Q792">
        <v>2024</v>
      </c>
    </row>
    <row r="793" spans="1:17" x14ac:dyDescent="0.25">
      <c r="A793" s="1" t="s">
        <v>1022</v>
      </c>
      <c r="B793" s="3">
        <v>45855</v>
      </c>
      <c r="C793" s="1" t="s">
        <v>256</v>
      </c>
      <c r="D793" s="1" t="s">
        <v>55</v>
      </c>
      <c r="E793" s="1" t="s">
        <v>71</v>
      </c>
      <c r="F793" s="2">
        <v>119.98</v>
      </c>
      <c r="G793" s="2" t="s">
        <v>90</v>
      </c>
      <c r="H793" s="2">
        <v>10</v>
      </c>
      <c r="I793" s="2">
        <v>1199.76</v>
      </c>
      <c r="J793" s="2" t="s">
        <v>18</v>
      </c>
      <c r="K793" s="2" t="s">
        <v>34</v>
      </c>
      <c r="L793" s="2" t="s">
        <v>47</v>
      </c>
      <c r="M793" s="2" t="s">
        <v>48</v>
      </c>
      <c r="N793" s="2" t="s">
        <v>1052</v>
      </c>
      <c r="O793" s="2" t="s">
        <v>1047</v>
      </c>
      <c r="P793" t="s">
        <v>1079</v>
      </c>
      <c r="Q793">
        <v>2025</v>
      </c>
    </row>
    <row r="794" spans="1:17" x14ac:dyDescent="0.25">
      <c r="A794" s="1" t="s">
        <v>1023</v>
      </c>
      <c r="B794" s="3">
        <v>45896</v>
      </c>
      <c r="C794" s="1" t="s">
        <v>992</v>
      </c>
      <c r="D794" s="1" t="s">
        <v>55</v>
      </c>
      <c r="E794" s="1" t="s">
        <v>25</v>
      </c>
      <c r="F794" s="2">
        <v>97.44</v>
      </c>
      <c r="G794" s="2" t="s">
        <v>56</v>
      </c>
      <c r="H794" s="2">
        <v>9</v>
      </c>
      <c r="I794" s="2">
        <v>876.99</v>
      </c>
      <c r="J794" s="2" t="s">
        <v>18</v>
      </c>
      <c r="K794" s="2" t="s">
        <v>34</v>
      </c>
      <c r="L794" s="2" t="s">
        <v>20</v>
      </c>
      <c r="M794" s="2" t="s">
        <v>21</v>
      </c>
      <c r="N794" s="2" t="s">
        <v>1051</v>
      </c>
      <c r="O794" s="2" t="s">
        <v>1059</v>
      </c>
      <c r="P794" t="s">
        <v>1079</v>
      </c>
      <c r="Q794">
        <v>2025</v>
      </c>
    </row>
    <row r="795" spans="1:17" x14ac:dyDescent="0.25">
      <c r="A795" s="1" t="s">
        <v>1024</v>
      </c>
      <c r="B795" s="3">
        <v>45762</v>
      </c>
      <c r="C795" s="1" t="s">
        <v>147</v>
      </c>
      <c r="D795" s="1" t="s">
        <v>39</v>
      </c>
      <c r="E795" s="1" t="s">
        <v>45</v>
      </c>
      <c r="F795" s="2">
        <v>178.23</v>
      </c>
      <c r="G795" s="2" t="s">
        <v>136</v>
      </c>
      <c r="H795" s="2">
        <v>6</v>
      </c>
      <c r="I795" s="2">
        <v>1069.3599999999999</v>
      </c>
      <c r="J795" s="2" t="s">
        <v>63</v>
      </c>
      <c r="K795" s="2" t="s">
        <v>34</v>
      </c>
      <c r="L795" s="2" t="s">
        <v>41</v>
      </c>
      <c r="M795" s="2" t="s">
        <v>76</v>
      </c>
      <c r="N795" s="2" t="s">
        <v>1048</v>
      </c>
      <c r="O795" s="2" t="s">
        <v>1053</v>
      </c>
      <c r="P795" t="s">
        <v>1079</v>
      </c>
      <c r="Q795">
        <v>2025</v>
      </c>
    </row>
    <row r="796" spans="1:17" x14ac:dyDescent="0.25">
      <c r="A796" s="1" t="s">
        <v>1025</v>
      </c>
      <c r="B796" s="3">
        <v>45822</v>
      </c>
      <c r="C796" s="1" t="s">
        <v>240</v>
      </c>
      <c r="D796" s="1" t="s">
        <v>24</v>
      </c>
      <c r="E796" s="1" t="s">
        <v>71</v>
      </c>
      <c r="F796" s="2">
        <v>8.83</v>
      </c>
      <c r="G796" s="2" t="s">
        <v>170</v>
      </c>
      <c r="H796" s="2">
        <v>84</v>
      </c>
      <c r="I796" s="2">
        <v>741.95</v>
      </c>
      <c r="J796" s="2" t="s">
        <v>63</v>
      </c>
      <c r="K796" s="2" t="s">
        <v>19</v>
      </c>
      <c r="L796" s="2" t="s">
        <v>35</v>
      </c>
      <c r="M796" s="2" t="s">
        <v>52</v>
      </c>
      <c r="N796" s="2" t="s">
        <v>1062</v>
      </c>
      <c r="O796" s="2" t="s">
        <v>1063</v>
      </c>
      <c r="P796" t="s">
        <v>1079</v>
      </c>
      <c r="Q796">
        <v>2025</v>
      </c>
    </row>
    <row r="797" spans="1:17" x14ac:dyDescent="0.25">
      <c r="A797" s="1" t="s">
        <v>1026</v>
      </c>
      <c r="B797" s="3">
        <v>45931</v>
      </c>
      <c r="C797" s="1" t="s">
        <v>242</v>
      </c>
      <c r="D797" s="1" t="s">
        <v>39</v>
      </c>
      <c r="E797" s="1" t="s">
        <v>25</v>
      </c>
      <c r="F797" s="2">
        <v>57.46</v>
      </c>
      <c r="G797" s="2" t="s">
        <v>136</v>
      </c>
      <c r="H797" s="2">
        <v>12</v>
      </c>
      <c r="I797" s="2">
        <v>689.56</v>
      </c>
      <c r="J797" s="2" t="s">
        <v>63</v>
      </c>
      <c r="K797" s="2" t="s">
        <v>19</v>
      </c>
      <c r="L797" s="2" t="s">
        <v>35</v>
      </c>
      <c r="M797" s="2" t="s">
        <v>126</v>
      </c>
      <c r="N797" s="2" t="s">
        <v>1046</v>
      </c>
      <c r="O797" s="2" t="s">
        <v>1059</v>
      </c>
      <c r="P797" t="s">
        <v>1079</v>
      </c>
      <c r="Q797">
        <v>2025</v>
      </c>
    </row>
    <row r="798" spans="1:17" hidden="1" x14ac:dyDescent="0.25">
      <c r="A798" s="1" t="s">
        <v>1027</v>
      </c>
      <c r="B798" s="3">
        <v>45310</v>
      </c>
      <c r="C798" s="1" t="s">
        <v>92</v>
      </c>
      <c r="D798" s="1" t="s">
        <v>55</v>
      </c>
      <c r="E798" s="1" t="s">
        <v>25</v>
      </c>
      <c r="F798" s="2">
        <v>66.819999999999993</v>
      </c>
      <c r="G798" s="2" t="s">
        <v>56</v>
      </c>
      <c r="H798" s="2">
        <v>12</v>
      </c>
      <c r="I798" s="2">
        <v>801.85</v>
      </c>
      <c r="J798" s="2" t="s">
        <v>63</v>
      </c>
      <c r="K798" s="2" t="s">
        <v>19</v>
      </c>
      <c r="L798" s="2" t="s">
        <v>20</v>
      </c>
      <c r="M798" s="2" t="s">
        <v>64</v>
      </c>
      <c r="N798" s="2" t="s">
        <v>1050</v>
      </c>
      <c r="O798" s="2" t="s">
        <v>1058</v>
      </c>
      <c r="P798" t="s">
        <v>1079</v>
      </c>
      <c r="Q798">
        <v>2024</v>
      </c>
    </row>
    <row r="799" spans="1:17" x14ac:dyDescent="0.25">
      <c r="A799" s="1" t="s">
        <v>1028</v>
      </c>
      <c r="B799" s="3">
        <v>45928</v>
      </c>
      <c r="C799" s="1" t="s">
        <v>1029</v>
      </c>
      <c r="D799" s="1" t="s">
        <v>24</v>
      </c>
      <c r="E799" s="1" t="s">
        <v>71</v>
      </c>
      <c r="F799" s="2">
        <v>441.43</v>
      </c>
      <c r="G799" s="2" t="s">
        <v>75</v>
      </c>
      <c r="H799" s="2">
        <v>12</v>
      </c>
      <c r="I799" s="2">
        <v>5297.11</v>
      </c>
      <c r="J799" s="2" t="s">
        <v>63</v>
      </c>
      <c r="K799" s="2" t="s">
        <v>19</v>
      </c>
      <c r="L799" s="2" t="s">
        <v>27</v>
      </c>
      <c r="M799" s="2" t="s">
        <v>59</v>
      </c>
      <c r="N799" s="2" t="s">
        <v>1049</v>
      </c>
      <c r="O799" s="2" t="s">
        <v>1055</v>
      </c>
      <c r="P799" t="s">
        <v>1078</v>
      </c>
      <c r="Q799">
        <v>2025</v>
      </c>
    </row>
    <row r="800" spans="1:17" hidden="1" x14ac:dyDescent="0.25">
      <c r="A800" s="1" t="s">
        <v>1030</v>
      </c>
      <c r="B800" s="3">
        <v>45425</v>
      </c>
      <c r="C800" s="1" t="s">
        <v>407</v>
      </c>
      <c r="D800" s="1" t="s">
        <v>31</v>
      </c>
      <c r="E800" s="1" t="s">
        <v>71</v>
      </c>
      <c r="F800" s="2">
        <v>232.41</v>
      </c>
      <c r="G800" s="2" t="s">
        <v>32</v>
      </c>
      <c r="H800" s="2">
        <v>14</v>
      </c>
      <c r="I800" s="2">
        <v>3253.76</v>
      </c>
      <c r="J800" s="2" t="s">
        <v>18</v>
      </c>
      <c r="K800" s="2" t="s">
        <v>19</v>
      </c>
      <c r="L800" s="2" t="s">
        <v>35</v>
      </c>
      <c r="M800" s="2" t="s">
        <v>36</v>
      </c>
      <c r="N800" s="2" t="s">
        <v>1057</v>
      </c>
      <c r="O800" s="2" t="s">
        <v>1056</v>
      </c>
      <c r="P800" t="s">
        <v>1079</v>
      </c>
      <c r="Q800">
        <v>2024</v>
      </c>
    </row>
    <row r="801" spans="1:17" hidden="1" x14ac:dyDescent="0.25">
      <c r="A801" s="1" t="s">
        <v>1031</v>
      </c>
      <c r="B801" s="3">
        <v>45588</v>
      </c>
      <c r="C801" s="1" t="s">
        <v>114</v>
      </c>
      <c r="D801" s="1" t="s">
        <v>24</v>
      </c>
      <c r="E801" s="1" t="s">
        <v>45</v>
      </c>
      <c r="F801" s="2">
        <v>138.49</v>
      </c>
      <c r="G801" s="2" t="s">
        <v>170</v>
      </c>
      <c r="H801" s="2">
        <v>20</v>
      </c>
      <c r="I801" s="2">
        <v>2769.71</v>
      </c>
      <c r="J801" s="2" t="s">
        <v>18</v>
      </c>
      <c r="K801" s="2" t="s">
        <v>19</v>
      </c>
      <c r="L801" s="2" t="s">
        <v>47</v>
      </c>
      <c r="M801" s="2" t="s">
        <v>153</v>
      </c>
      <c r="N801" s="2" t="s">
        <v>1046</v>
      </c>
      <c r="O801" s="2" t="s">
        <v>1059</v>
      </c>
      <c r="P801" t="s">
        <v>1079</v>
      </c>
      <c r="Q801">
        <v>2024</v>
      </c>
    </row>
    <row r="802" spans="1:17" x14ac:dyDescent="0.25">
      <c r="A802" s="1" t="s">
        <v>877</v>
      </c>
      <c r="B802" s="3">
        <v>45849</v>
      </c>
      <c r="C802" s="1" t="s">
        <v>196</v>
      </c>
      <c r="D802" s="1" t="s">
        <v>55</v>
      </c>
      <c r="E802" s="1" t="s">
        <v>67</v>
      </c>
      <c r="F802" s="2">
        <v>119.52</v>
      </c>
      <c r="G802" s="2" t="s">
        <v>79</v>
      </c>
      <c r="H802" s="2">
        <v>14</v>
      </c>
      <c r="I802" s="2">
        <v>1673.21</v>
      </c>
      <c r="J802" s="2" t="s">
        <v>18</v>
      </c>
      <c r="K802" s="2" t="s">
        <v>19</v>
      </c>
      <c r="L802" s="2" t="s">
        <v>27</v>
      </c>
      <c r="M802" s="2" t="s">
        <v>28</v>
      </c>
      <c r="N802" s="2" t="s">
        <v>1052</v>
      </c>
      <c r="O802" s="2" t="s">
        <v>1058</v>
      </c>
      <c r="P802" t="s">
        <v>1079</v>
      </c>
      <c r="Q802">
        <v>2025</v>
      </c>
    </row>
    <row r="803" spans="1:17" x14ac:dyDescent="0.25">
      <c r="A803" s="1" t="s">
        <v>790</v>
      </c>
      <c r="B803" s="3">
        <v>45708</v>
      </c>
      <c r="C803" s="1" t="s">
        <v>791</v>
      </c>
      <c r="D803" s="1" t="s">
        <v>39</v>
      </c>
      <c r="E803" s="1" t="s">
        <v>71</v>
      </c>
      <c r="F803" s="2">
        <v>92.45</v>
      </c>
      <c r="G803" s="2" t="s">
        <v>40</v>
      </c>
      <c r="H803" s="2">
        <v>20</v>
      </c>
      <c r="I803" s="2">
        <v>1849.02</v>
      </c>
      <c r="J803" s="2" t="s">
        <v>18</v>
      </c>
      <c r="K803" s="2" t="s">
        <v>19</v>
      </c>
      <c r="L803" s="2" t="s">
        <v>35</v>
      </c>
      <c r="M803" s="2" t="s">
        <v>52</v>
      </c>
      <c r="N803" s="2" t="s">
        <v>1060</v>
      </c>
      <c r="O803" s="2" t="s">
        <v>1047</v>
      </c>
      <c r="P803" t="s">
        <v>1079</v>
      </c>
      <c r="Q803">
        <v>2025</v>
      </c>
    </row>
    <row r="804" spans="1:17" hidden="1" x14ac:dyDescent="0.25">
      <c r="A804" s="1" t="s">
        <v>306</v>
      </c>
      <c r="B804" s="3">
        <v>45366</v>
      </c>
      <c r="C804" s="1" t="s">
        <v>145</v>
      </c>
      <c r="D804" s="1" t="s">
        <v>55</v>
      </c>
      <c r="E804" s="1" t="s">
        <v>25</v>
      </c>
      <c r="F804" s="2">
        <v>11.56</v>
      </c>
      <c r="G804" s="2" t="s">
        <v>148</v>
      </c>
      <c r="H804" s="2">
        <v>95</v>
      </c>
      <c r="I804" s="2">
        <v>1098.33</v>
      </c>
      <c r="J804" s="2" t="s">
        <v>18</v>
      </c>
      <c r="K804" s="2" t="s">
        <v>19</v>
      </c>
      <c r="L804" s="2" t="s">
        <v>35</v>
      </c>
      <c r="M804" s="2" t="s">
        <v>52</v>
      </c>
      <c r="N804" s="2" t="s">
        <v>1054</v>
      </c>
      <c r="O804" s="2" t="s">
        <v>1058</v>
      </c>
      <c r="P804" t="s">
        <v>1079</v>
      </c>
      <c r="Q804">
        <v>2024</v>
      </c>
    </row>
    <row r="805" spans="1:17" hidden="1" x14ac:dyDescent="0.25">
      <c r="A805" s="1" t="s">
        <v>914</v>
      </c>
      <c r="B805" s="3">
        <v>45627</v>
      </c>
      <c r="C805" s="1" t="s">
        <v>915</v>
      </c>
      <c r="D805" s="1" t="s">
        <v>24</v>
      </c>
      <c r="E805" s="1" t="s">
        <v>25</v>
      </c>
      <c r="F805" s="2">
        <v>134.91999999999999</v>
      </c>
      <c r="G805" s="2" t="s">
        <v>68</v>
      </c>
      <c r="H805" s="2">
        <v>12</v>
      </c>
      <c r="I805" s="2">
        <v>1619</v>
      </c>
      <c r="J805" s="2" t="s">
        <v>18</v>
      </c>
      <c r="K805" s="2" t="s">
        <v>19</v>
      </c>
      <c r="L805" s="2" t="s">
        <v>41</v>
      </c>
      <c r="M805" s="2" t="s">
        <v>141</v>
      </c>
      <c r="N805" s="2" t="s">
        <v>1061</v>
      </c>
      <c r="O805" s="2" t="s">
        <v>1055</v>
      </c>
      <c r="P805" t="s">
        <v>1079</v>
      </c>
      <c r="Q805">
        <v>2024</v>
      </c>
    </row>
    <row r="806" spans="1:17" hidden="1" x14ac:dyDescent="0.25">
      <c r="A806" s="1" t="s">
        <v>243</v>
      </c>
      <c r="B806" s="3">
        <v>45482</v>
      </c>
      <c r="C806" s="1" t="s">
        <v>235</v>
      </c>
      <c r="D806" s="1" t="s">
        <v>55</v>
      </c>
      <c r="E806" s="1" t="s">
        <v>25</v>
      </c>
      <c r="F806" s="2">
        <v>121.67</v>
      </c>
      <c r="G806" s="2" t="s">
        <v>148</v>
      </c>
      <c r="H806" s="2">
        <v>10</v>
      </c>
      <c r="I806" s="2">
        <v>1216.7</v>
      </c>
      <c r="J806" s="2" t="s">
        <v>18</v>
      </c>
      <c r="K806" s="2" t="s">
        <v>34</v>
      </c>
      <c r="L806" s="2" t="s">
        <v>27</v>
      </c>
      <c r="M806" s="2" t="s">
        <v>28</v>
      </c>
      <c r="N806" s="2" t="s">
        <v>1052</v>
      </c>
      <c r="O806" s="2" t="s">
        <v>1053</v>
      </c>
      <c r="P806" t="s">
        <v>1079</v>
      </c>
      <c r="Q806">
        <v>2024</v>
      </c>
    </row>
    <row r="807" spans="1:17" x14ac:dyDescent="0.25">
      <c r="A807" s="1" t="s">
        <v>572</v>
      </c>
      <c r="B807" s="3">
        <v>45929</v>
      </c>
      <c r="C807" s="1" t="s">
        <v>573</v>
      </c>
      <c r="D807" s="1" t="s">
        <v>39</v>
      </c>
      <c r="E807" s="1" t="s">
        <v>45</v>
      </c>
      <c r="F807" s="2">
        <v>163.52000000000001</v>
      </c>
      <c r="G807" s="2" t="s">
        <v>1083</v>
      </c>
      <c r="H807" s="2">
        <v>11</v>
      </c>
      <c r="I807" s="2">
        <v>13174.279999999999</v>
      </c>
      <c r="J807" s="2" t="s">
        <v>18</v>
      </c>
      <c r="K807" s="2" t="s">
        <v>19</v>
      </c>
      <c r="L807" s="2" t="s">
        <v>27</v>
      </c>
      <c r="M807" s="2" t="s">
        <v>28</v>
      </c>
      <c r="N807" s="2" t="s">
        <v>1049</v>
      </c>
      <c r="O807" s="2" t="s">
        <v>1056</v>
      </c>
      <c r="P807" t="s">
        <v>1078</v>
      </c>
      <c r="Q807">
        <v>2025</v>
      </c>
    </row>
    <row r="808" spans="1:17" x14ac:dyDescent="0.25">
      <c r="A808" s="1" t="s">
        <v>775</v>
      </c>
      <c r="B808" s="3">
        <v>45888</v>
      </c>
      <c r="C808" s="1" t="s">
        <v>235</v>
      </c>
      <c r="D808" s="1" t="s">
        <v>15</v>
      </c>
      <c r="E808" s="1" t="s">
        <v>67</v>
      </c>
      <c r="F808" s="2">
        <v>118.31</v>
      </c>
      <c r="G808" s="2" t="s">
        <v>51</v>
      </c>
      <c r="H808" s="2">
        <v>17</v>
      </c>
      <c r="I808" s="2">
        <v>2011.2</v>
      </c>
      <c r="J808" s="2" t="s">
        <v>18</v>
      </c>
      <c r="K808" s="2" t="s">
        <v>19</v>
      </c>
      <c r="L808" s="2" t="s">
        <v>47</v>
      </c>
      <c r="M808" s="2" t="s">
        <v>48</v>
      </c>
      <c r="N808" s="2" t="s">
        <v>1051</v>
      </c>
      <c r="O808" s="2" t="s">
        <v>1053</v>
      </c>
      <c r="P808" t="s">
        <v>1079</v>
      </c>
      <c r="Q808">
        <v>2025</v>
      </c>
    </row>
    <row r="809" spans="1:17" x14ac:dyDescent="0.25">
      <c r="A809" s="1" t="s">
        <v>771</v>
      </c>
      <c r="B809" s="3">
        <v>45958</v>
      </c>
      <c r="C809" s="1" t="s">
        <v>54</v>
      </c>
      <c r="D809" s="1" t="s">
        <v>39</v>
      </c>
      <c r="E809" s="1" t="s">
        <v>67</v>
      </c>
      <c r="F809" s="2">
        <v>101.39</v>
      </c>
      <c r="G809" s="2" t="s">
        <v>93</v>
      </c>
      <c r="H809" s="2">
        <v>10</v>
      </c>
      <c r="I809" s="2">
        <v>1013.94</v>
      </c>
      <c r="J809" s="2" t="s">
        <v>18</v>
      </c>
      <c r="K809" s="2" t="s">
        <v>34</v>
      </c>
      <c r="L809" s="2" t="s">
        <v>27</v>
      </c>
      <c r="M809" s="2" t="s">
        <v>161</v>
      </c>
      <c r="N809" s="2" t="s">
        <v>1046</v>
      </c>
      <c r="O809" s="2" t="s">
        <v>1053</v>
      </c>
      <c r="P809" t="s">
        <v>1079</v>
      </c>
      <c r="Q809">
        <v>2025</v>
      </c>
    </row>
    <row r="810" spans="1:17" hidden="1" x14ac:dyDescent="0.25">
      <c r="A810" s="1" t="s">
        <v>991</v>
      </c>
      <c r="B810" s="3">
        <v>45475</v>
      </c>
      <c r="C810" s="1" t="s">
        <v>992</v>
      </c>
      <c r="D810" s="1" t="s">
        <v>55</v>
      </c>
      <c r="E810" s="1" t="s">
        <v>71</v>
      </c>
      <c r="F810" s="2">
        <v>6.86</v>
      </c>
      <c r="G810" s="2" t="s">
        <v>79</v>
      </c>
      <c r="H810" s="2">
        <v>120</v>
      </c>
      <c r="I810" s="2">
        <v>166.2715</v>
      </c>
      <c r="J810" s="2" t="s">
        <v>18</v>
      </c>
      <c r="K810" s="2" t="s">
        <v>19</v>
      </c>
      <c r="L810" s="2" t="s">
        <v>27</v>
      </c>
      <c r="M810" s="2" t="s">
        <v>59</v>
      </c>
      <c r="N810" s="2" t="s">
        <v>1052</v>
      </c>
      <c r="O810" s="2" t="s">
        <v>1053</v>
      </c>
      <c r="P810" t="s">
        <v>1079</v>
      </c>
      <c r="Q810">
        <v>2024</v>
      </c>
    </row>
    <row r="811" spans="1:17" x14ac:dyDescent="0.25">
      <c r="A811" s="1" t="s">
        <v>494</v>
      </c>
      <c r="B811" s="3">
        <v>45902</v>
      </c>
      <c r="C811" s="1" t="s">
        <v>446</v>
      </c>
      <c r="D811" s="1" t="s">
        <v>55</v>
      </c>
      <c r="E811" s="1" t="s">
        <v>45</v>
      </c>
      <c r="F811" s="2">
        <v>68.42</v>
      </c>
      <c r="G811" s="2" t="s">
        <v>79</v>
      </c>
      <c r="H811" s="2">
        <v>10</v>
      </c>
      <c r="I811" s="2">
        <v>684.19</v>
      </c>
      <c r="J811" s="2" t="s">
        <v>18</v>
      </c>
      <c r="K811" s="2" t="s">
        <v>34</v>
      </c>
      <c r="L811" s="2" t="s">
        <v>35</v>
      </c>
      <c r="M811" s="2" t="s">
        <v>126</v>
      </c>
      <c r="N811" s="2" t="s">
        <v>1049</v>
      </c>
      <c r="O811" s="2" t="s">
        <v>1053</v>
      </c>
      <c r="P811" t="s">
        <v>1079</v>
      </c>
      <c r="Q811">
        <v>2025</v>
      </c>
    </row>
    <row r="812" spans="1:17" hidden="1" x14ac:dyDescent="0.25">
      <c r="A812" s="1" t="s">
        <v>743</v>
      </c>
      <c r="B812" s="3">
        <v>45602</v>
      </c>
      <c r="C812" s="1" t="s">
        <v>204</v>
      </c>
      <c r="D812" s="1" t="s">
        <v>24</v>
      </c>
      <c r="E812" s="1" t="s">
        <v>71</v>
      </c>
      <c r="F812" s="2">
        <v>116.36</v>
      </c>
      <c r="G812" s="2" t="s">
        <v>75</v>
      </c>
      <c r="H812" s="2">
        <v>11</v>
      </c>
      <c r="I812" s="2">
        <v>1280</v>
      </c>
      <c r="J812" s="2" t="s">
        <v>18</v>
      </c>
      <c r="K812" s="2" t="s">
        <v>19</v>
      </c>
      <c r="L812" s="2" t="s">
        <v>41</v>
      </c>
      <c r="M812" s="2" t="s">
        <v>141</v>
      </c>
      <c r="N812" s="2" t="s">
        <v>1064</v>
      </c>
      <c r="O812" s="2" t="s">
        <v>1059</v>
      </c>
      <c r="P812" t="s">
        <v>1079</v>
      </c>
      <c r="Q812">
        <v>2024</v>
      </c>
    </row>
    <row r="813" spans="1:17" x14ac:dyDescent="0.25">
      <c r="A813" s="1" t="s">
        <v>383</v>
      </c>
      <c r="B813" s="3">
        <v>45665</v>
      </c>
      <c r="C813" s="1" t="s">
        <v>133</v>
      </c>
      <c r="D813" s="1" t="s">
        <v>15</v>
      </c>
      <c r="E813" s="1" t="s">
        <v>16</v>
      </c>
      <c r="F813" s="2">
        <v>285.95999999999998</v>
      </c>
      <c r="G813" s="2" t="s">
        <v>51</v>
      </c>
      <c r="H813" s="2">
        <v>12</v>
      </c>
      <c r="I813" s="2">
        <v>3431.55</v>
      </c>
      <c r="J813" s="2" t="s">
        <v>18</v>
      </c>
      <c r="K813" s="2" t="s">
        <v>19</v>
      </c>
      <c r="L813" s="2" t="s">
        <v>47</v>
      </c>
      <c r="M813" s="2" t="s">
        <v>153</v>
      </c>
      <c r="N813" s="2" t="s">
        <v>1050</v>
      </c>
      <c r="O813" s="2" t="s">
        <v>1059</v>
      </c>
      <c r="P813" t="s">
        <v>1079</v>
      </c>
      <c r="Q813">
        <v>2025</v>
      </c>
    </row>
    <row r="814" spans="1:17" hidden="1" x14ac:dyDescent="0.25">
      <c r="A814" s="1" t="s">
        <v>1001</v>
      </c>
      <c r="B814" s="3">
        <v>45305</v>
      </c>
      <c r="C814" s="1" t="s">
        <v>175</v>
      </c>
      <c r="D814" s="1" t="s">
        <v>55</v>
      </c>
      <c r="E814" s="1" t="s">
        <v>71</v>
      </c>
      <c r="F814" s="2">
        <v>88.4</v>
      </c>
      <c r="G814" s="2" t="s">
        <v>148</v>
      </c>
      <c r="H814" s="2">
        <v>16</v>
      </c>
      <c r="I814" s="2">
        <v>1414.47</v>
      </c>
      <c r="J814" s="2" t="s">
        <v>18</v>
      </c>
      <c r="K814" s="2" t="s">
        <v>19</v>
      </c>
      <c r="L814" s="2" t="s">
        <v>35</v>
      </c>
      <c r="M814" s="2" t="s">
        <v>126</v>
      </c>
      <c r="N814" s="2" t="s">
        <v>1050</v>
      </c>
      <c r="O814" s="2" t="s">
        <v>1055</v>
      </c>
      <c r="P814" t="s">
        <v>1079</v>
      </c>
      <c r="Q814">
        <v>2024</v>
      </c>
    </row>
    <row r="815" spans="1:17" x14ac:dyDescent="0.25">
      <c r="A815" s="1" t="s">
        <v>213</v>
      </c>
      <c r="B815" s="3">
        <v>45810</v>
      </c>
      <c r="C815" s="1" t="s">
        <v>44</v>
      </c>
      <c r="D815" s="1" t="s">
        <v>24</v>
      </c>
      <c r="E815" s="1" t="s">
        <v>16</v>
      </c>
      <c r="F815" s="2">
        <v>183.47</v>
      </c>
      <c r="G815" s="2" t="s">
        <v>26</v>
      </c>
      <c r="H815" s="2">
        <v>10</v>
      </c>
      <c r="I815" s="2">
        <v>1834.74</v>
      </c>
      <c r="J815" s="2" t="s">
        <v>18</v>
      </c>
      <c r="K815" s="2" t="s">
        <v>34</v>
      </c>
      <c r="L815" s="2" t="s">
        <v>47</v>
      </c>
      <c r="M815" s="2" t="s">
        <v>153</v>
      </c>
      <c r="N815" s="2" t="s">
        <v>1062</v>
      </c>
      <c r="O815" s="2" t="s">
        <v>1056</v>
      </c>
      <c r="P815" t="s">
        <v>1079</v>
      </c>
      <c r="Q815">
        <v>2025</v>
      </c>
    </row>
    <row r="816" spans="1:17" hidden="1" x14ac:dyDescent="0.25">
      <c r="A816" s="1" t="s">
        <v>497</v>
      </c>
      <c r="B816" s="3">
        <v>45387</v>
      </c>
      <c r="C816" s="1" t="s">
        <v>92</v>
      </c>
      <c r="D816" s="1" t="s">
        <v>39</v>
      </c>
      <c r="E816" s="1" t="s">
        <v>45</v>
      </c>
      <c r="F816" s="2">
        <v>205.78</v>
      </c>
      <c r="G816" s="2" t="s">
        <v>40</v>
      </c>
      <c r="H816" s="2">
        <v>7</v>
      </c>
      <c r="I816" s="2">
        <v>1440.48</v>
      </c>
      <c r="J816" s="2" t="s">
        <v>18</v>
      </c>
      <c r="K816" s="2" t="s">
        <v>34</v>
      </c>
      <c r="L816" s="2" t="s">
        <v>35</v>
      </c>
      <c r="M816" s="2" t="s">
        <v>36</v>
      </c>
      <c r="N816" s="2" t="s">
        <v>1048</v>
      </c>
      <c r="O816" s="2" t="s">
        <v>1058</v>
      </c>
      <c r="P816" t="s">
        <v>1079</v>
      </c>
      <c r="Q816">
        <v>2024</v>
      </c>
    </row>
    <row r="817" spans="1:17" x14ac:dyDescent="0.25">
      <c r="A817" s="1" t="s">
        <v>723</v>
      </c>
      <c r="B817" s="3">
        <v>45896</v>
      </c>
      <c r="C817" s="1" t="s">
        <v>167</v>
      </c>
      <c r="D817" s="1" t="s">
        <v>15</v>
      </c>
      <c r="E817" s="1" t="s">
        <v>16</v>
      </c>
      <c r="F817" s="2">
        <v>90.53</v>
      </c>
      <c r="G817" s="2" t="s">
        <v>51</v>
      </c>
      <c r="H817" s="2">
        <v>15</v>
      </c>
      <c r="I817" s="2">
        <v>1358</v>
      </c>
      <c r="J817" s="2" t="s">
        <v>18</v>
      </c>
      <c r="K817" s="2" t="s">
        <v>19</v>
      </c>
      <c r="L817" s="2" t="s">
        <v>47</v>
      </c>
      <c r="M817" s="2" t="s">
        <v>153</v>
      </c>
      <c r="N817" s="2" t="s">
        <v>1051</v>
      </c>
      <c r="O817" s="2" t="s">
        <v>1059</v>
      </c>
      <c r="P817" t="s">
        <v>1079</v>
      </c>
      <c r="Q817">
        <v>2025</v>
      </c>
    </row>
    <row r="818" spans="1:17" hidden="1" x14ac:dyDescent="0.25">
      <c r="A818" s="1" t="s">
        <v>670</v>
      </c>
      <c r="B818" s="3">
        <v>45495</v>
      </c>
      <c r="C818" s="1" t="s">
        <v>462</v>
      </c>
      <c r="D818" s="1" t="s">
        <v>24</v>
      </c>
      <c r="E818" s="1" t="s">
        <v>45</v>
      </c>
      <c r="F818" s="2">
        <v>434.35</v>
      </c>
      <c r="G818" s="2" t="s">
        <v>170</v>
      </c>
      <c r="H818" s="2">
        <v>6</v>
      </c>
      <c r="I818" s="2">
        <v>2606.0700000000002</v>
      </c>
      <c r="J818" s="2" t="s">
        <v>18</v>
      </c>
      <c r="K818" s="2" t="s">
        <v>34</v>
      </c>
      <c r="L818" s="2" t="s">
        <v>47</v>
      </c>
      <c r="M818" s="2" t="s">
        <v>48</v>
      </c>
      <c r="N818" s="2" t="s">
        <v>1052</v>
      </c>
      <c r="O818" s="2" t="s">
        <v>1056</v>
      </c>
      <c r="P818" t="s">
        <v>1079</v>
      </c>
      <c r="Q818">
        <v>2024</v>
      </c>
    </row>
    <row r="819" spans="1:17" hidden="1" x14ac:dyDescent="0.25">
      <c r="A819" s="1" t="s">
        <v>636</v>
      </c>
      <c r="B819" s="3">
        <v>45468</v>
      </c>
      <c r="C819" s="1" t="s">
        <v>237</v>
      </c>
      <c r="D819" s="1" t="s">
        <v>55</v>
      </c>
      <c r="E819" s="1" t="s">
        <v>67</v>
      </c>
      <c r="F819" s="2">
        <v>122.78</v>
      </c>
      <c r="G819" s="2" t="s">
        <v>79</v>
      </c>
      <c r="H819" s="2">
        <v>9</v>
      </c>
      <c r="I819" s="2">
        <v>1105.03</v>
      </c>
      <c r="J819" s="2" t="s">
        <v>18</v>
      </c>
      <c r="K819" s="2" t="s">
        <v>34</v>
      </c>
      <c r="L819" s="2" t="s">
        <v>27</v>
      </c>
      <c r="M819" s="2" t="s">
        <v>161</v>
      </c>
      <c r="N819" s="2" t="s">
        <v>1062</v>
      </c>
      <c r="O819" s="2" t="s">
        <v>1053</v>
      </c>
      <c r="P819" t="s">
        <v>1079</v>
      </c>
      <c r="Q819">
        <v>2024</v>
      </c>
    </row>
    <row r="820" spans="1:17" x14ac:dyDescent="0.25">
      <c r="A820" s="1" t="s">
        <v>750</v>
      </c>
      <c r="B820" s="3">
        <v>45854</v>
      </c>
      <c r="C820" s="1" t="s">
        <v>533</v>
      </c>
      <c r="D820" s="1" t="s">
        <v>15</v>
      </c>
      <c r="E820" s="1" t="s">
        <v>67</v>
      </c>
      <c r="F820" s="2">
        <v>156.86000000000001</v>
      </c>
      <c r="G820" s="2" t="s">
        <v>51</v>
      </c>
      <c r="H820" s="2">
        <v>9</v>
      </c>
      <c r="I820" s="2">
        <v>1411.76</v>
      </c>
      <c r="J820" s="2" t="s">
        <v>18</v>
      </c>
      <c r="K820" s="2" t="s">
        <v>34</v>
      </c>
      <c r="L820" s="2" t="s">
        <v>41</v>
      </c>
      <c r="M820" s="2" t="s">
        <v>42</v>
      </c>
      <c r="N820" s="2" t="s">
        <v>1052</v>
      </c>
      <c r="O820" s="2" t="s">
        <v>1059</v>
      </c>
      <c r="P820" t="s">
        <v>1079</v>
      </c>
      <c r="Q820">
        <v>2025</v>
      </c>
    </row>
    <row r="821" spans="1:17" hidden="1" x14ac:dyDescent="0.25">
      <c r="A821" s="1" t="s">
        <v>745</v>
      </c>
      <c r="B821" s="3">
        <v>45378</v>
      </c>
      <c r="C821" s="1" t="s">
        <v>279</v>
      </c>
      <c r="D821" s="1" t="s">
        <v>24</v>
      </c>
      <c r="E821" s="1" t="s">
        <v>16</v>
      </c>
      <c r="F821" s="2">
        <v>65.28</v>
      </c>
      <c r="G821" s="2" t="s">
        <v>68</v>
      </c>
      <c r="H821" s="2">
        <v>202</v>
      </c>
      <c r="I821" s="2">
        <v>13174.279999999999</v>
      </c>
      <c r="J821" s="2" t="s">
        <v>18</v>
      </c>
      <c r="K821" s="2" t="s">
        <v>19</v>
      </c>
      <c r="L821" s="2" t="s">
        <v>47</v>
      </c>
      <c r="M821" s="2" t="s">
        <v>85</v>
      </c>
      <c r="N821" s="2" t="s">
        <v>1054</v>
      </c>
      <c r="O821" s="2" t="s">
        <v>1059</v>
      </c>
      <c r="P821" t="s">
        <v>1078</v>
      </c>
      <c r="Q821">
        <v>2024</v>
      </c>
    </row>
    <row r="822" spans="1:17" x14ac:dyDescent="0.25">
      <c r="A822" s="1" t="s">
        <v>344</v>
      </c>
      <c r="B822" s="3">
        <v>45735</v>
      </c>
      <c r="C822" s="1" t="s">
        <v>84</v>
      </c>
      <c r="D822" s="1" t="s">
        <v>24</v>
      </c>
      <c r="E822" s="1" t="s">
        <v>71</v>
      </c>
      <c r="F822" s="2">
        <v>1667.83</v>
      </c>
      <c r="G822" s="2" t="s">
        <v>170</v>
      </c>
      <c r="H822" s="2">
        <v>1</v>
      </c>
      <c r="I822" s="2">
        <v>1667.83</v>
      </c>
      <c r="J822" s="2" t="s">
        <v>18</v>
      </c>
      <c r="K822" s="2" t="s">
        <v>34</v>
      </c>
      <c r="L822" s="2" t="s">
        <v>27</v>
      </c>
      <c r="M822" s="2" t="s">
        <v>59</v>
      </c>
      <c r="N822" s="2" t="s">
        <v>1054</v>
      </c>
      <c r="O822" s="2" t="s">
        <v>1059</v>
      </c>
      <c r="P822" t="s">
        <v>1079</v>
      </c>
      <c r="Q822">
        <v>2025</v>
      </c>
    </row>
    <row r="823" spans="1:17" x14ac:dyDescent="0.25">
      <c r="A823" s="1" t="s">
        <v>1017</v>
      </c>
      <c r="B823" s="3">
        <v>45730</v>
      </c>
      <c r="C823" s="1" t="s">
        <v>97</v>
      </c>
      <c r="D823" s="1" t="s">
        <v>55</v>
      </c>
      <c r="E823" s="1" t="s">
        <v>71</v>
      </c>
      <c r="F823" s="2">
        <v>160.5</v>
      </c>
      <c r="G823" s="2" t="s">
        <v>90</v>
      </c>
      <c r="H823" s="2">
        <v>5</v>
      </c>
      <c r="I823" s="2">
        <v>802.51</v>
      </c>
      <c r="J823" s="2" t="s">
        <v>18</v>
      </c>
      <c r="K823" s="2" t="s">
        <v>34</v>
      </c>
      <c r="L823" s="2" t="s">
        <v>35</v>
      </c>
      <c r="M823" s="2" t="s">
        <v>36</v>
      </c>
      <c r="N823" s="2" t="s">
        <v>1054</v>
      </c>
      <c r="O823" s="2" t="s">
        <v>1058</v>
      </c>
      <c r="P823" t="s">
        <v>1079</v>
      </c>
      <c r="Q823">
        <v>2025</v>
      </c>
    </row>
    <row r="824" spans="1:17" x14ac:dyDescent="0.25">
      <c r="A824" s="1" t="s">
        <v>564</v>
      </c>
      <c r="B824" s="3">
        <v>45896</v>
      </c>
      <c r="C824" s="1" t="s">
        <v>565</v>
      </c>
      <c r="D824" s="1" t="s">
        <v>55</v>
      </c>
      <c r="E824" s="1" t="s">
        <v>71</v>
      </c>
      <c r="F824" s="2">
        <v>159.56</v>
      </c>
      <c r="G824" s="2" t="s">
        <v>90</v>
      </c>
      <c r="H824" s="2">
        <v>16</v>
      </c>
      <c r="I824" s="2">
        <v>2553</v>
      </c>
      <c r="J824" s="2" t="s">
        <v>18</v>
      </c>
      <c r="K824" s="2" t="s">
        <v>19</v>
      </c>
      <c r="L824" s="2" t="s">
        <v>35</v>
      </c>
      <c r="M824" s="2" t="s">
        <v>126</v>
      </c>
      <c r="N824" s="2" t="s">
        <v>1051</v>
      </c>
      <c r="O824" s="2" t="s">
        <v>1059</v>
      </c>
      <c r="P824" t="s">
        <v>1079</v>
      </c>
      <c r="Q824">
        <v>2025</v>
      </c>
    </row>
    <row r="825" spans="1:17" x14ac:dyDescent="0.25">
      <c r="A825" s="1" t="s">
        <v>774</v>
      </c>
      <c r="B825" s="3">
        <v>45836</v>
      </c>
      <c r="C825" s="1" t="s">
        <v>81</v>
      </c>
      <c r="D825" s="1" t="s">
        <v>55</v>
      </c>
      <c r="E825" s="1" t="s">
        <v>67</v>
      </c>
      <c r="F825" s="2">
        <v>115.26</v>
      </c>
      <c r="G825" s="2" t="s">
        <v>79</v>
      </c>
      <c r="H825" s="2">
        <v>10</v>
      </c>
      <c r="I825" s="2">
        <v>1152.56</v>
      </c>
      <c r="J825" s="2" t="s">
        <v>18</v>
      </c>
      <c r="K825" s="2" t="s">
        <v>34</v>
      </c>
      <c r="L825" s="2" t="s">
        <v>20</v>
      </c>
      <c r="M825" s="2" t="s">
        <v>88</v>
      </c>
      <c r="N825" s="2" t="s">
        <v>1062</v>
      </c>
      <c r="O825" s="2" t="s">
        <v>1063</v>
      </c>
      <c r="P825" t="s">
        <v>1079</v>
      </c>
      <c r="Q825">
        <v>2025</v>
      </c>
    </row>
    <row r="826" spans="1:17" x14ac:dyDescent="0.25">
      <c r="A826" s="1" t="s">
        <v>316</v>
      </c>
      <c r="B826" s="3">
        <v>45903</v>
      </c>
      <c r="C826" s="1" t="s">
        <v>128</v>
      </c>
      <c r="D826" s="1" t="s">
        <v>24</v>
      </c>
      <c r="E826" s="1" t="s">
        <v>25</v>
      </c>
      <c r="F826" s="2">
        <v>255.95</v>
      </c>
      <c r="G826" s="2" t="s">
        <v>68</v>
      </c>
      <c r="H826" s="2">
        <v>7</v>
      </c>
      <c r="I826" s="2">
        <v>1791.64</v>
      </c>
      <c r="J826" s="2" t="s">
        <v>18</v>
      </c>
      <c r="K826" s="2" t="s">
        <v>34</v>
      </c>
      <c r="L826" s="2" t="s">
        <v>27</v>
      </c>
      <c r="M826" s="2" t="s">
        <v>59</v>
      </c>
      <c r="N826" s="2" t="s">
        <v>1049</v>
      </c>
      <c r="O826" s="2" t="s">
        <v>1059</v>
      </c>
      <c r="P826" t="s">
        <v>1079</v>
      </c>
      <c r="Q826">
        <v>2025</v>
      </c>
    </row>
    <row r="827" spans="1:17" x14ac:dyDescent="0.25">
      <c r="A827" s="1" t="s">
        <v>276</v>
      </c>
      <c r="B827" s="3">
        <v>45829</v>
      </c>
      <c r="C827" s="1" t="s">
        <v>216</v>
      </c>
      <c r="D827" s="1" t="s">
        <v>55</v>
      </c>
      <c r="E827" s="1" t="s">
        <v>67</v>
      </c>
      <c r="F827" s="2">
        <v>181.06</v>
      </c>
      <c r="G827" s="2" t="s">
        <v>56</v>
      </c>
      <c r="H827" s="2">
        <v>9</v>
      </c>
      <c r="I827" s="2">
        <v>1629.52</v>
      </c>
      <c r="J827" s="2" t="s">
        <v>18</v>
      </c>
      <c r="K827" s="2" t="s">
        <v>34</v>
      </c>
      <c r="L827" s="2" t="s">
        <v>41</v>
      </c>
      <c r="M827" s="2" t="s">
        <v>76</v>
      </c>
      <c r="N827" s="2" t="s">
        <v>1062</v>
      </c>
      <c r="O827" s="2" t="s">
        <v>1063</v>
      </c>
      <c r="P827" t="s">
        <v>1079</v>
      </c>
      <c r="Q827">
        <v>2025</v>
      </c>
    </row>
    <row r="828" spans="1:17" x14ac:dyDescent="0.25">
      <c r="A828" s="1" t="s">
        <v>122</v>
      </c>
      <c r="B828" s="3">
        <v>45920</v>
      </c>
      <c r="C828" s="1" t="s">
        <v>123</v>
      </c>
      <c r="D828" s="1" t="s">
        <v>15</v>
      </c>
      <c r="E828" s="1" t="s">
        <v>25</v>
      </c>
      <c r="F828" s="2">
        <v>111.92</v>
      </c>
      <c r="G828" s="2" t="s">
        <v>62</v>
      </c>
      <c r="H828" s="2">
        <v>12</v>
      </c>
      <c r="I828" s="2">
        <v>1343.05</v>
      </c>
      <c r="J828" s="2" t="s">
        <v>18</v>
      </c>
      <c r="K828" s="2" t="s">
        <v>19</v>
      </c>
      <c r="L828" s="2" t="s">
        <v>41</v>
      </c>
      <c r="M828" s="2" t="s">
        <v>76</v>
      </c>
      <c r="N828" s="2" t="s">
        <v>1049</v>
      </c>
      <c r="O828" s="2" t="s">
        <v>1063</v>
      </c>
      <c r="P828" t="s">
        <v>1079</v>
      </c>
      <c r="Q828">
        <v>2025</v>
      </c>
    </row>
    <row r="829" spans="1:17" x14ac:dyDescent="0.25">
      <c r="A829" s="1" t="s">
        <v>605</v>
      </c>
      <c r="B829" s="3">
        <v>45697</v>
      </c>
      <c r="C829" s="1" t="s">
        <v>228</v>
      </c>
      <c r="D829" s="1" t="s">
        <v>15</v>
      </c>
      <c r="E829" s="1" t="s">
        <v>16</v>
      </c>
      <c r="F829" s="2">
        <v>48.43</v>
      </c>
      <c r="G829" s="2" t="s">
        <v>51</v>
      </c>
      <c r="H829" s="2">
        <v>19</v>
      </c>
      <c r="I829" s="2">
        <v>920.25</v>
      </c>
      <c r="J829" s="2" t="s">
        <v>18</v>
      </c>
      <c r="K829" s="2" t="s">
        <v>19</v>
      </c>
      <c r="L829" s="2" t="s">
        <v>35</v>
      </c>
      <c r="M829" s="2" t="s">
        <v>126</v>
      </c>
      <c r="N829" s="2" t="s">
        <v>1060</v>
      </c>
      <c r="O829" s="2" t="s">
        <v>1055</v>
      </c>
      <c r="P829" t="s">
        <v>1079</v>
      </c>
      <c r="Q829">
        <v>2025</v>
      </c>
    </row>
    <row r="830" spans="1:17" x14ac:dyDescent="0.25">
      <c r="A830" s="1" t="s">
        <v>326</v>
      </c>
      <c r="B830" s="3">
        <v>45880</v>
      </c>
      <c r="C830" s="1" t="s">
        <v>327</v>
      </c>
      <c r="D830" s="1" t="s">
        <v>39</v>
      </c>
      <c r="E830" s="1" t="s">
        <v>71</v>
      </c>
      <c r="F830" s="2">
        <v>1352</v>
      </c>
      <c r="G830" s="2" t="s">
        <v>1083</v>
      </c>
      <c r="H830" s="2">
        <v>1</v>
      </c>
      <c r="I830" s="2">
        <v>1352</v>
      </c>
      <c r="J830" s="2" t="s">
        <v>18</v>
      </c>
      <c r="K830" s="2" t="s">
        <v>34</v>
      </c>
      <c r="L830" s="2" t="s">
        <v>47</v>
      </c>
      <c r="M830" s="2" t="s">
        <v>48</v>
      </c>
      <c r="N830" s="2" t="s">
        <v>1051</v>
      </c>
      <c r="O830" s="2" t="s">
        <v>1056</v>
      </c>
      <c r="P830" t="s">
        <v>1079</v>
      </c>
      <c r="Q830">
        <v>2025</v>
      </c>
    </row>
    <row r="831" spans="1:17" hidden="1" x14ac:dyDescent="0.25">
      <c r="A831" s="1" t="s">
        <v>331</v>
      </c>
      <c r="B831" s="3">
        <v>45354</v>
      </c>
      <c r="C831" s="1" t="s">
        <v>332</v>
      </c>
      <c r="D831" s="1" t="s">
        <v>55</v>
      </c>
      <c r="E831" s="1" t="s">
        <v>45</v>
      </c>
      <c r="F831" s="2">
        <v>187.03</v>
      </c>
      <c r="G831" s="2" t="s">
        <v>148</v>
      </c>
      <c r="H831" s="2">
        <v>10</v>
      </c>
      <c r="I831" s="2">
        <v>1870.33</v>
      </c>
      <c r="J831" s="2" t="s">
        <v>18</v>
      </c>
      <c r="K831" s="2" t="s">
        <v>34</v>
      </c>
      <c r="L831" s="2" t="s">
        <v>41</v>
      </c>
      <c r="M831" s="2" t="s">
        <v>42</v>
      </c>
      <c r="N831" s="2" t="s">
        <v>1054</v>
      </c>
      <c r="O831" s="2" t="s">
        <v>1055</v>
      </c>
      <c r="P831" t="s">
        <v>1079</v>
      </c>
      <c r="Q831">
        <v>2024</v>
      </c>
    </row>
    <row r="832" spans="1:17" hidden="1" x14ac:dyDescent="0.25">
      <c r="A832" s="1" t="s">
        <v>935</v>
      </c>
      <c r="B832" s="3">
        <v>45575</v>
      </c>
      <c r="C832" s="1" t="s">
        <v>936</v>
      </c>
      <c r="D832" s="1" t="s">
        <v>24</v>
      </c>
      <c r="E832" s="1" t="s">
        <v>67</v>
      </c>
      <c r="F832" s="2">
        <v>11.29</v>
      </c>
      <c r="G832" s="2" t="s">
        <v>26</v>
      </c>
      <c r="H832" s="2">
        <v>116</v>
      </c>
      <c r="I832" s="2">
        <v>1309.4000000000001</v>
      </c>
      <c r="J832" s="2" t="s">
        <v>18</v>
      </c>
      <c r="K832" s="2" t="s">
        <v>19</v>
      </c>
      <c r="L832" s="2" t="s">
        <v>47</v>
      </c>
      <c r="M832" s="2" t="s">
        <v>48</v>
      </c>
      <c r="N832" s="2" t="s">
        <v>1046</v>
      </c>
      <c r="O832" s="2" t="s">
        <v>1047</v>
      </c>
      <c r="P832" t="s">
        <v>1079</v>
      </c>
      <c r="Q832">
        <v>2024</v>
      </c>
    </row>
    <row r="833" spans="1:17" x14ac:dyDescent="0.25">
      <c r="A833" s="1" t="s">
        <v>140</v>
      </c>
      <c r="B833" s="3">
        <v>45703</v>
      </c>
      <c r="C833" s="1" t="s">
        <v>104</v>
      </c>
      <c r="D833" s="1" t="s">
        <v>31</v>
      </c>
      <c r="E833" s="1" t="s">
        <v>16</v>
      </c>
      <c r="F833" s="2">
        <v>214.33</v>
      </c>
      <c r="G833" s="2" t="s">
        <v>46</v>
      </c>
      <c r="H833" s="2">
        <v>9</v>
      </c>
      <c r="I833" s="2">
        <v>1929</v>
      </c>
      <c r="J833" s="2" t="s">
        <v>18</v>
      </c>
      <c r="K833" s="2" t="s">
        <v>34</v>
      </c>
      <c r="L833" s="2" t="s">
        <v>41</v>
      </c>
      <c r="M833" s="2" t="s">
        <v>76</v>
      </c>
      <c r="N833" s="2" t="s">
        <v>1060</v>
      </c>
      <c r="O833" s="2" t="s">
        <v>1063</v>
      </c>
      <c r="P833" t="s">
        <v>1079</v>
      </c>
      <c r="Q833">
        <v>2025</v>
      </c>
    </row>
    <row r="834" spans="1:17" hidden="1" x14ac:dyDescent="0.25">
      <c r="A834" s="1" t="s">
        <v>616</v>
      </c>
      <c r="B834" s="3">
        <v>45404</v>
      </c>
      <c r="C834" s="1" t="s">
        <v>108</v>
      </c>
      <c r="D834" s="1" t="s">
        <v>15</v>
      </c>
      <c r="E834" s="1" t="s">
        <v>71</v>
      </c>
      <c r="F834" s="2">
        <v>52.85</v>
      </c>
      <c r="G834" s="2" t="s">
        <v>62</v>
      </c>
      <c r="H834" s="2">
        <v>15</v>
      </c>
      <c r="I834" s="2">
        <v>792.82</v>
      </c>
      <c r="J834" s="2" t="s">
        <v>63</v>
      </c>
      <c r="K834" s="2" t="s">
        <v>19</v>
      </c>
      <c r="L834" s="2" t="s">
        <v>47</v>
      </c>
      <c r="M834" s="2" t="s">
        <v>48</v>
      </c>
      <c r="N834" s="2" t="s">
        <v>1048</v>
      </c>
      <c r="O834" s="2" t="s">
        <v>1056</v>
      </c>
      <c r="P834" t="s">
        <v>1079</v>
      </c>
      <c r="Q834">
        <v>2024</v>
      </c>
    </row>
    <row r="835" spans="1:17" hidden="1" x14ac:dyDescent="0.25">
      <c r="A835" s="1" t="s">
        <v>795</v>
      </c>
      <c r="B835" s="3">
        <v>45565</v>
      </c>
      <c r="C835" s="1" t="s">
        <v>84</v>
      </c>
      <c r="D835" s="1" t="s">
        <v>31</v>
      </c>
      <c r="E835" s="1" t="s">
        <v>67</v>
      </c>
      <c r="F835" s="2">
        <v>210.78</v>
      </c>
      <c r="G835" s="2" t="s">
        <v>98</v>
      </c>
      <c r="H835" s="2">
        <v>7</v>
      </c>
      <c r="I835" s="2">
        <v>1475.45</v>
      </c>
      <c r="J835" s="2" t="s">
        <v>18</v>
      </c>
      <c r="K835" s="2" t="s">
        <v>34</v>
      </c>
      <c r="L835" s="2" t="s">
        <v>20</v>
      </c>
      <c r="M835" s="2" t="s">
        <v>64</v>
      </c>
      <c r="N835" s="2" t="s">
        <v>1049</v>
      </c>
      <c r="O835" s="2" t="s">
        <v>1056</v>
      </c>
      <c r="P835" t="s">
        <v>1079</v>
      </c>
      <c r="Q835">
        <v>2024</v>
      </c>
    </row>
    <row r="836" spans="1:17" hidden="1" x14ac:dyDescent="0.25">
      <c r="A836" s="1" t="s">
        <v>630</v>
      </c>
      <c r="B836" s="3">
        <v>45520</v>
      </c>
      <c r="C836" s="1" t="s">
        <v>275</v>
      </c>
      <c r="D836" s="1" t="s">
        <v>31</v>
      </c>
      <c r="E836" s="1" t="s">
        <v>16</v>
      </c>
      <c r="F836" s="2">
        <v>139.36000000000001</v>
      </c>
      <c r="G836" s="2" t="s">
        <v>46</v>
      </c>
      <c r="H836" s="2">
        <v>9</v>
      </c>
      <c r="I836" s="2">
        <v>1254.21</v>
      </c>
      <c r="J836" s="2" t="s">
        <v>18</v>
      </c>
      <c r="K836" s="2" t="s">
        <v>34</v>
      </c>
      <c r="L836" s="2" t="s">
        <v>47</v>
      </c>
      <c r="M836" s="2" t="s">
        <v>48</v>
      </c>
      <c r="N836" s="2" t="s">
        <v>1051</v>
      </c>
      <c r="O836" s="2" t="s">
        <v>1058</v>
      </c>
      <c r="P836" t="s">
        <v>1079</v>
      </c>
      <c r="Q836">
        <v>2024</v>
      </c>
    </row>
    <row r="837" spans="1:17" x14ac:dyDescent="0.25">
      <c r="A837" s="1" t="s">
        <v>671</v>
      </c>
      <c r="B837" s="3">
        <v>45934</v>
      </c>
      <c r="C837" s="1" t="s">
        <v>672</v>
      </c>
      <c r="D837" s="1" t="s">
        <v>31</v>
      </c>
      <c r="E837" s="1" t="s">
        <v>45</v>
      </c>
      <c r="F837" s="2">
        <v>161.51</v>
      </c>
      <c r="G837" s="2" t="s">
        <v>32</v>
      </c>
      <c r="H837" s="2">
        <v>14</v>
      </c>
      <c r="I837" s="2">
        <v>2261.08</v>
      </c>
      <c r="J837" s="2" t="s">
        <v>18</v>
      </c>
      <c r="K837" s="2" t="s">
        <v>19</v>
      </c>
      <c r="L837" s="2" t="s">
        <v>47</v>
      </c>
      <c r="M837" s="2" t="s">
        <v>48</v>
      </c>
      <c r="N837" s="2" t="s">
        <v>1046</v>
      </c>
      <c r="O837" s="2" t="s">
        <v>1063</v>
      </c>
      <c r="P837" t="s">
        <v>1079</v>
      </c>
      <c r="Q837">
        <v>2025</v>
      </c>
    </row>
    <row r="838" spans="1:17" hidden="1" x14ac:dyDescent="0.25">
      <c r="A838" s="1" t="s">
        <v>183</v>
      </c>
      <c r="B838" s="3">
        <v>45569</v>
      </c>
      <c r="C838" s="1" t="s">
        <v>184</v>
      </c>
      <c r="D838" s="1" t="s">
        <v>24</v>
      </c>
      <c r="E838" s="1" t="s">
        <v>25</v>
      </c>
      <c r="F838" s="2">
        <v>1471.7</v>
      </c>
      <c r="G838" s="2" t="s">
        <v>170</v>
      </c>
      <c r="H838" s="2">
        <v>1</v>
      </c>
      <c r="I838" s="2">
        <v>1471.7</v>
      </c>
      <c r="J838" s="2" t="s">
        <v>18</v>
      </c>
      <c r="K838" s="2" t="s">
        <v>34</v>
      </c>
      <c r="L838" s="2" t="s">
        <v>41</v>
      </c>
      <c r="M838" s="2" t="s">
        <v>76</v>
      </c>
      <c r="N838" s="2" t="s">
        <v>1046</v>
      </c>
      <c r="O838" s="2" t="s">
        <v>1058</v>
      </c>
      <c r="P838" t="s">
        <v>1079</v>
      </c>
      <c r="Q838">
        <v>2024</v>
      </c>
    </row>
    <row r="839" spans="1:17" x14ac:dyDescent="0.25">
      <c r="A839" s="1" t="s">
        <v>722</v>
      </c>
      <c r="B839" s="3">
        <v>45944</v>
      </c>
      <c r="C839" s="1" t="s">
        <v>242</v>
      </c>
      <c r="D839" s="1" t="s">
        <v>24</v>
      </c>
      <c r="E839" s="1" t="s">
        <v>25</v>
      </c>
      <c r="F839" s="2">
        <v>60.12</v>
      </c>
      <c r="G839" s="2" t="s">
        <v>68</v>
      </c>
      <c r="H839" s="2">
        <v>12</v>
      </c>
      <c r="I839" s="2">
        <v>721.38</v>
      </c>
      <c r="J839" s="2" t="s">
        <v>63</v>
      </c>
      <c r="K839" s="2" t="s">
        <v>19</v>
      </c>
      <c r="L839" s="2" t="s">
        <v>35</v>
      </c>
      <c r="M839" s="2" t="s">
        <v>52</v>
      </c>
      <c r="N839" s="2" t="s">
        <v>1046</v>
      </c>
      <c r="O839" s="2" t="s">
        <v>1053</v>
      </c>
      <c r="P839" t="s">
        <v>1079</v>
      </c>
      <c r="Q839">
        <v>2025</v>
      </c>
    </row>
    <row r="840" spans="1:17" hidden="1" x14ac:dyDescent="0.25">
      <c r="A840" s="1" t="s">
        <v>1021</v>
      </c>
      <c r="B840" s="3">
        <v>45546</v>
      </c>
      <c r="C840" s="1" t="s">
        <v>327</v>
      </c>
      <c r="D840" s="1" t="s">
        <v>31</v>
      </c>
      <c r="E840" s="1" t="s">
        <v>25</v>
      </c>
      <c r="F840" s="2">
        <v>176.51</v>
      </c>
      <c r="G840" s="2" t="s">
        <v>31</v>
      </c>
      <c r="H840" s="2">
        <v>16</v>
      </c>
      <c r="I840" s="2">
        <v>2824.15</v>
      </c>
      <c r="J840" s="2" t="s">
        <v>18</v>
      </c>
      <c r="K840" s="2" t="s">
        <v>19</v>
      </c>
      <c r="L840" s="2" t="s">
        <v>41</v>
      </c>
      <c r="M840" s="2" t="s">
        <v>76</v>
      </c>
      <c r="N840" s="2" t="s">
        <v>1049</v>
      </c>
      <c r="O840" s="2" t="s">
        <v>1059</v>
      </c>
      <c r="P840" t="s">
        <v>1079</v>
      </c>
      <c r="Q840">
        <v>2024</v>
      </c>
    </row>
    <row r="841" spans="1:17" hidden="1" x14ac:dyDescent="0.25">
      <c r="A841" s="1" t="s">
        <v>860</v>
      </c>
      <c r="B841" s="3">
        <v>45596</v>
      </c>
      <c r="C841" s="1" t="s">
        <v>114</v>
      </c>
      <c r="D841" s="1" t="s">
        <v>31</v>
      </c>
      <c r="E841" s="1" t="s">
        <v>71</v>
      </c>
      <c r="F841" s="2">
        <v>82.49</v>
      </c>
      <c r="G841" s="2" t="s">
        <v>32</v>
      </c>
      <c r="H841" s="2">
        <v>14</v>
      </c>
      <c r="I841" s="2">
        <v>1154.8699999999999</v>
      </c>
      <c r="J841" s="2" t="s">
        <v>18</v>
      </c>
      <c r="K841" s="2" t="s">
        <v>19</v>
      </c>
      <c r="L841" s="2" t="s">
        <v>47</v>
      </c>
      <c r="M841" s="2" t="s">
        <v>48</v>
      </c>
      <c r="N841" s="2" t="s">
        <v>1046</v>
      </c>
      <c r="O841" s="2" t="s">
        <v>1047</v>
      </c>
      <c r="P841" t="s">
        <v>1079</v>
      </c>
      <c r="Q841">
        <v>2024</v>
      </c>
    </row>
    <row r="842" spans="1:17" x14ac:dyDescent="0.25">
      <c r="A842" s="1" t="s">
        <v>129</v>
      </c>
      <c r="B842" s="3">
        <v>45794</v>
      </c>
      <c r="C842" s="1" t="s">
        <v>110</v>
      </c>
      <c r="D842" s="1" t="s">
        <v>15</v>
      </c>
      <c r="E842" s="1" t="s">
        <v>45</v>
      </c>
      <c r="F842" s="2">
        <v>184.92</v>
      </c>
      <c r="G842" s="2" t="s">
        <v>51</v>
      </c>
      <c r="H842" s="2">
        <v>9</v>
      </c>
      <c r="I842" s="2">
        <v>1664.31</v>
      </c>
      <c r="J842" s="2" t="s">
        <v>63</v>
      </c>
      <c r="K842" s="2" t="s">
        <v>34</v>
      </c>
      <c r="L842" s="2" t="s">
        <v>41</v>
      </c>
      <c r="M842" s="2" t="s">
        <v>76</v>
      </c>
      <c r="N842" s="2" t="s">
        <v>1057</v>
      </c>
      <c r="O842" s="2" t="s">
        <v>1063</v>
      </c>
      <c r="P842" t="s">
        <v>1079</v>
      </c>
      <c r="Q842">
        <v>2025</v>
      </c>
    </row>
    <row r="843" spans="1:17" hidden="1" x14ac:dyDescent="0.25">
      <c r="A843" s="1" t="s">
        <v>818</v>
      </c>
      <c r="B843" s="3">
        <v>45645</v>
      </c>
      <c r="C843" s="1" t="s">
        <v>95</v>
      </c>
      <c r="D843" s="1" t="s">
        <v>39</v>
      </c>
      <c r="E843" s="1" t="s">
        <v>16</v>
      </c>
      <c r="F843" s="2">
        <v>20.21</v>
      </c>
      <c r="G843" s="2" t="s">
        <v>136</v>
      </c>
      <c r="H843" s="2">
        <v>84</v>
      </c>
      <c r="I843" s="2">
        <v>1698</v>
      </c>
      <c r="J843" s="2" t="s">
        <v>63</v>
      </c>
      <c r="K843" s="2" t="s">
        <v>19</v>
      </c>
      <c r="L843" s="2" t="s">
        <v>47</v>
      </c>
      <c r="M843" s="2" t="s">
        <v>48</v>
      </c>
      <c r="N843" s="2" t="s">
        <v>1061</v>
      </c>
      <c r="O843" s="2" t="s">
        <v>1047</v>
      </c>
      <c r="P843" t="s">
        <v>1079</v>
      </c>
      <c r="Q843">
        <v>2024</v>
      </c>
    </row>
    <row r="844" spans="1:17" x14ac:dyDescent="0.25">
      <c r="A844" s="1" t="s">
        <v>376</v>
      </c>
      <c r="B844" s="3">
        <v>45680</v>
      </c>
      <c r="C844" s="1" t="s">
        <v>377</v>
      </c>
      <c r="D844" s="1" t="s">
        <v>15</v>
      </c>
      <c r="E844" s="1" t="s">
        <v>67</v>
      </c>
      <c r="F844" s="2">
        <v>163.41999999999999</v>
      </c>
      <c r="G844" s="2" t="s">
        <v>51</v>
      </c>
      <c r="H844" s="2">
        <v>12</v>
      </c>
      <c r="I844" s="2">
        <v>1961.09</v>
      </c>
      <c r="J844" s="2" t="s">
        <v>33</v>
      </c>
      <c r="K844" s="2" t="s">
        <v>19</v>
      </c>
      <c r="L844" s="2" t="s">
        <v>27</v>
      </c>
      <c r="M844" s="2" t="s">
        <v>28</v>
      </c>
      <c r="N844" s="2" t="s">
        <v>1050</v>
      </c>
      <c r="O844" s="2" t="s">
        <v>1047</v>
      </c>
      <c r="P844" t="s">
        <v>1079</v>
      </c>
      <c r="Q844">
        <v>2025</v>
      </c>
    </row>
    <row r="845" spans="1:17" hidden="1" x14ac:dyDescent="0.25">
      <c r="A845" s="1" t="s">
        <v>812</v>
      </c>
      <c r="B845" s="3">
        <v>45630</v>
      </c>
      <c r="C845" s="1" t="s">
        <v>254</v>
      </c>
      <c r="D845" s="1" t="s">
        <v>15</v>
      </c>
      <c r="E845" s="1" t="s">
        <v>71</v>
      </c>
      <c r="F845" s="2">
        <v>12.05</v>
      </c>
      <c r="G845" s="2" t="s">
        <v>62</v>
      </c>
      <c r="H845" s="2">
        <v>126</v>
      </c>
      <c r="I845" s="2">
        <v>1518.91</v>
      </c>
      <c r="J845" s="2" t="s">
        <v>63</v>
      </c>
      <c r="K845" s="2" t="s">
        <v>19</v>
      </c>
      <c r="L845" s="2" t="s">
        <v>47</v>
      </c>
      <c r="M845" s="2" t="s">
        <v>48</v>
      </c>
      <c r="N845" s="2" t="s">
        <v>1061</v>
      </c>
      <c r="O845" s="2" t="s">
        <v>1059</v>
      </c>
      <c r="P845" t="s">
        <v>1079</v>
      </c>
      <c r="Q845">
        <v>2024</v>
      </c>
    </row>
    <row r="846" spans="1:17" hidden="1" x14ac:dyDescent="0.25">
      <c r="A846" s="1" t="s">
        <v>707</v>
      </c>
      <c r="B846" s="3">
        <v>45315</v>
      </c>
      <c r="C846" s="1" t="s">
        <v>348</v>
      </c>
      <c r="D846" s="1" t="s">
        <v>15</v>
      </c>
      <c r="E846" s="1" t="s">
        <v>71</v>
      </c>
      <c r="F846" s="2">
        <v>79.989999999999995</v>
      </c>
      <c r="G846" s="2" t="s">
        <v>17</v>
      </c>
      <c r="H846" s="2">
        <v>11</v>
      </c>
      <c r="I846" s="2">
        <v>879.87</v>
      </c>
      <c r="J846" s="2" t="s">
        <v>63</v>
      </c>
      <c r="K846" s="2" t="s">
        <v>19</v>
      </c>
      <c r="L846" s="2" t="s">
        <v>47</v>
      </c>
      <c r="M846" s="2" t="s">
        <v>48</v>
      </c>
      <c r="N846" s="2" t="s">
        <v>1050</v>
      </c>
      <c r="O846" s="2" t="s">
        <v>1059</v>
      </c>
      <c r="P846" t="s">
        <v>1079</v>
      </c>
      <c r="Q846">
        <v>2024</v>
      </c>
    </row>
    <row r="847" spans="1:17" hidden="1" x14ac:dyDescent="0.25">
      <c r="A847" s="1" t="s">
        <v>1006</v>
      </c>
      <c r="B847" s="3">
        <v>45614</v>
      </c>
      <c r="C847" s="1" t="s">
        <v>54</v>
      </c>
      <c r="D847" s="1" t="s">
        <v>39</v>
      </c>
      <c r="E847" s="1" t="s">
        <v>45</v>
      </c>
      <c r="F847" s="2">
        <v>160.08000000000001</v>
      </c>
      <c r="G847" s="2" t="s">
        <v>136</v>
      </c>
      <c r="H847" s="2">
        <v>12</v>
      </c>
      <c r="I847" s="2">
        <v>1921</v>
      </c>
      <c r="J847" s="2" t="s">
        <v>18</v>
      </c>
      <c r="K847" s="2" t="s">
        <v>19</v>
      </c>
      <c r="L847" s="2" t="s">
        <v>20</v>
      </c>
      <c r="M847" s="2" t="s">
        <v>64</v>
      </c>
      <c r="N847" s="2" t="s">
        <v>1064</v>
      </c>
      <c r="O847" s="2" t="s">
        <v>1056</v>
      </c>
      <c r="P847" t="s">
        <v>1079</v>
      </c>
      <c r="Q847">
        <v>2024</v>
      </c>
    </row>
    <row r="848" spans="1:17" hidden="1" x14ac:dyDescent="0.25">
      <c r="A848" s="1" t="s">
        <v>230</v>
      </c>
      <c r="B848" s="3">
        <v>45639</v>
      </c>
      <c r="C848" s="1" t="s">
        <v>110</v>
      </c>
      <c r="D848" s="1" t="s">
        <v>55</v>
      </c>
      <c r="E848" s="1" t="s">
        <v>25</v>
      </c>
      <c r="F848" s="2">
        <v>125.68</v>
      </c>
      <c r="G848" s="2" t="s">
        <v>90</v>
      </c>
      <c r="H848" s="2">
        <v>10</v>
      </c>
      <c r="I848" s="2">
        <v>1256.8399999999999</v>
      </c>
      <c r="J848" s="2" t="s">
        <v>18</v>
      </c>
      <c r="K848" s="2" t="s">
        <v>34</v>
      </c>
      <c r="L848" s="2" t="s">
        <v>47</v>
      </c>
      <c r="M848" s="2" t="s">
        <v>48</v>
      </c>
      <c r="N848" s="2" t="s">
        <v>1061</v>
      </c>
      <c r="O848" s="2" t="s">
        <v>1058</v>
      </c>
      <c r="P848" t="s">
        <v>1079</v>
      </c>
      <c r="Q848">
        <v>2024</v>
      </c>
    </row>
    <row r="849" spans="1:17" hidden="1" x14ac:dyDescent="0.25">
      <c r="A849" s="1" t="s">
        <v>545</v>
      </c>
      <c r="B849" s="3">
        <v>45315</v>
      </c>
      <c r="C849" s="1" t="s">
        <v>254</v>
      </c>
      <c r="D849" s="1" t="s">
        <v>31</v>
      </c>
      <c r="E849" s="1" t="s">
        <v>67</v>
      </c>
      <c r="F849" s="2">
        <v>297.27999999999997</v>
      </c>
      <c r="G849" s="2" t="s">
        <v>31</v>
      </c>
      <c r="H849" s="2">
        <v>7</v>
      </c>
      <c r="I849" s="2">
        <v>2080.9699999999998</v>
      </c>
      <c r="J849" s="2" t="s">
        <v>18</v>
      </c>
      <c r="K849" s="2" t="s">
        <v>34</v>
      </c>
      <c r="L849" s="2" t="s">
        <v>27</v>
      </c>
      <c r="M849" s="2" t="s">
        <v>28</v>
      </c>
      <c r="N849" s="2" t="s">
        <v>1050</v>
      </c>
      <c r="O849" s="2" t="s">
        <v>1059</v>
      </c>
      <c r="P849" t="s">
        <v>1079</v>
      </c>
      <c r="Q849">
        <v>2024</v>
      </c>
    </row>
    <row r="850" spans="1:17" hidden="1" x14ac:dyDescent="0.25">
      <c r="A850" s="1" t="s">
        <v>506</v>
      </c>
      <c r="B850" s="3">
        <v>45424</v>
      </c>
      <c r="C850" s="1" t="s">
        <v>123</v>
      </c>
      <c r="D850" s="1" t="s">
        <v>55</v>
      </c>
      <c r="E850" s="1" t="s">
        <v>25</v>
      </c>
      <c r="F850" s="2">
        <v>46.05</v>
      </c>
      <c r="G850" s="2" t="s">
        <v>79</v>
      </c>
      <c r="H850" s="2">
        <v>20</v>
      </c>
      <c r="I850" s="2">
        <v>921</v>
      </c>
      <c r="J850" s="2" t="s">
        <v>18</v>
      </c>
      <c r="K850" s="2" t="s">
        <v>19</v>
      </c>
      <c r="L850" s="2" t="s">
        <v>27</v>
      </c>
      <c r="M850" s="2" t="s">
        <v>28</v>
      </c>
      <c r="N850" s="2" t="s">
        <v>1057</v>
      </c>
      <c r="O850" s="2" t="s">
        <v>1055</v>
      </c>
      <c r="P850" t="s">
        <v>1079</v>
      </c>
      <c r="Q850">
        <v>2024</v>
      </c>
    </row>
    <row r="851" spans="1:17" hidden="1" x14ac:dyDescent="0.25">
      <c r="A851" s="1" t="s">
        <v>413</v>
      </c>
      <c r="B851" s="3">
        <v>45433</v>
      </c>
      <c r="C851" s="1" t="s">
        <v>150</v>
      </c>
      <c r="D851" s="1" t="s">
        <v>39</v>
      </c>
      <c r="E851" s="1" t="s">
        <v>67</v>
      </c>
      <c r="F851" s="2">
        <v>66.41</v>
      </c>
      <c r="G851" s="2" t="s">
        <v>72</v>
      </c>
      <c r="H851" s="2">
        <v>12</v>
      </c>
      <c r="I851" s="2">
        <v>796.91</v>
      </c>
      <c r="J851" s="2" t="s">
        <v>63</v>
      </c>
      <c r="K851" s="2" t="s">
        <v>19</v>
      </c>
      <c r="L851" s="2" t="s">
        <v>41</v>
      </c>
      <c r="M851" s="2" t="s">
        <v>76</v>
      </c>
      <c r="N851" s="2" t="s">
        <v>1057</v>
      </c>
      <c r="O851" s="2" t="s">
        <v>1053</v>
      </c>
      <c r="P851" t="s">
        <v>1079</v>
      </c>
      <c r="Q851">
        <v>2024</v>
      </c>
    </row>
    <row r="852" spans="1:17" x14ac:dyDescent="0.25">
      <c r="A852" s="1" t="s">
        <v>890</v>
      </c>
      <c r="B852" s="3">
        <v>45689</v>
      </c>
      <c r="C852" s="1" t="s">
        <v>114</v>
      </c>
      <c r="D852" s="1" t="s">
        <v>55</v>
      </c>
      <c r="E852" s="1" t="s">
        <v>71</v>
      </c>
      <c r="F852" s="2">
        <v>47.77</v>
      </c>
      <c r="G852" s="2" t="s">
        <v>148</v>
      </c>
      <c r="H852" s="2">
        <v>14</v>
      </c>
      <c r="I852" s="2">
        <v>668.81</v>
      </c>
      <c r="J852" s="2" t="s">
        <v>18</v>
      </c>
      <c r="K852" s="2" t="s">
        <v>19</v>
      </c>
      <c r="L852" s="2" t="s">
        <v>41</v>
      </c>
      <c r="M852" s="2" t="s">
        <v>76</v>
      </c>
      <c r="N852" s="2" t="s">
        <v>1060</v>
      </c>
      <c r="O852" s="2" t="s">
        <v>1063</v>
      </c>
      <c r="P852" t="s">
        <v>1079</v>
      </c>
      <c r="Q852">
        <v>2025</v>
      </c>
    </row>
    <row r="853" spans="1:17" hidden="1" x14ac:dyDescent="0.25">
      <c r="A853" s="1" t="s">
        <v>675</v>
      </c>
      <c r="B853" s="3">
        <v>45451</v>
      </c>
      <c r="C853" s="1" t="s">
        <v>431</v>
      </c>
      <c r="D853" s="1" t="s">
        <v>39</v>
      </c>
      <c r="E853" s="1" t="s">
        <v>45</v>
      </c>
      <c r="F853" s="2">
        <v>74.23</v>
      </c>
      <c r="G853" s="2" t="s">
        <v>136</v>
      </c>
      <c r="H853" s="2">
        <v>18</v>
      </c>
      <c r="I853" s="2">
        <v>1336.23</v>
      </c>
      <c r="J853" s="2" t="s">
        <v>18</v>
      </c>
      <c r="K853" s="2" t="s">
        <v>19</v>
      </c>
      <c r="L853" s="2" t="s">
        <v>41</v>
      </c>
      <c r="M853" s="2" t="s">
        <v>76</v>
      </c>
      <c r="N853" s="2" t="s">
        <v>1062</v>
      </c>
      <c r="O853" s="2" t="s">
        <v>1063</v>
      </c>
      <c r="P853" t="s">
        <v>1079</v>
      </c>
      <c r="Q853">
        <v>2024</v>
      </c>
    </row>
    <row r="854" spans="1:17" hidden="1" x14ac:dyDescent="0.25">
      <c r="A854" s="1" t="s">
        <v>427</v>
      </c>
      <c r="B854" s="3">
        <v>45552</v>
      </c>
      <c r="C854" s="1" t="s">
        <v>428</v>
      </c>
      <c r="D854" s="1" t="s">
        <v>15</v>
      </c>
      <c r="E854" s="1" t="s">
        <v>16</v>
      </c>
      <c r="F854" s="2">
        <v>202.38</v>
      </c>
      <c r="G854" s="2" t="s">
        <v>82</v>
      </c>
      <c r="H854" s="2">
        <v>12</v>
      </c>
      <c r="I854" s="2">
        <v>2428.5700000000002</v>
      </c>
      <c r="J854" s="2" t="s">
        <v>33</v>
      </c>
      <c r="K854" s="2" t="s">
        <v>19</v>
      </c>
      <c r="L854" s="2" t="s">
        <v>35</v>
      </c>
      <c r="M854" s="2" t="s">
        <v>52</v>
      </c>
      <c r="N854" s="2" t="s">
        <v>1049</v>
      </c>
      <c r="O854" s="2" t="s">
        <v>1053</v>
      </c>
      <c r="P854" t="s">
        <v>1079</v>
      </c>
      <c r="Q854">
        <v>2024</v>
      </c>
    </row>
    <row r="855" spans="1:17" hidden="1" x14ac:dyDescent="0.25">
      <c r="A855" s="1" t="s">
        <v>113</v>
      </c>
      <c r="B855" s="3">
        <v>45395</v>
      </c>
      <c r="C855" s="1" t="s">
        <v>114</v>
      </c>
      <c r="D855" s="1" t="s">
        <v>15</v>
      </c>
      <c r="E855" s="1" t="s">
        <v>45</v>
      </c>
      <c r="F855" s="2">
        <v>444.64</v>
      </c>
      <c r="G855" s="2" t="s">
        <v>62</v>
      </c>
      <c r="H855" s="2">
        <v>6</v>
      </c>
      <c r="I855" s="2">
        <v>2667.84</v>
      </c>
      <c r="J855" s="2" t="s">
        <v>18</v>
      </c>
      <c r="K855" s="2" t="s">
        <v>34</v>
      </c>
      <c r="L855" s="2" t="s">
        <v>35</v>
      </c>
      <c r="M855" s="2" t="s">
        <v>52</v>
      </c>
      <c r="N855" s="2" t="s">
        <v>1048</v>
      </c>
      <c r="O855" s="2" t="s">
        <v>1063</v>
      </c>
      <c r="P855" t="s">
        <v>1079</v>
      </c>
      <c r="Q855">
        <v>2024</v>
      </c>
    </row>
    <row r="856" spans="1:17" hidden="1" x14ac:dyDescent="0.25">
      <c r="A856" s="1" t="s">
        <v>535</v>
      </c>
      <c r="B856" s="3">
        <v>45535</v>
      </c>
      <c r="C856" s="1" t="s">
        <v>173</v>
      </c>
      <c r="D856" s="1" t="s">
        <v>31</v>
      </c>
      <c r="E856" s="1" t="s">
        <v>16</v>
      </c>
      <c r="F856" s="2">
        <v>199.75</v>
      </c>
      <c r="G856" s="2" t="s">
        <v>31</v>
      </c>
      <c r="H856" s="2">
        <v>10</v>
      </c>
      <c r="I856" s="2">
        <v>1997.49</v>
      </c>
      <c r="J856" s="2" t="s">
        <v>18</v>
      </c>
      <c r="K856" s="2" t="s">
        <v>34</v>
      </c>
      <c r="L856" s="2" t="s">
        <v>20</v>
      </c>
      <c r="M856" s="2" t="s">
        <v>64</v>
      </c>
      <c r="N856" s="2" t="s">
        <v>1051</v>
      </c>
      <c r="O856" s="2" t="s">
        <v>1063</v>
      </c>
      <c r="P856" t="s">
        <v>1079</v>
      </c>
      <c r="Q856">
        <v>2024</v>
      </c>
    </row>
    <row r="857" spans="1:17" x14ac:dyDescent="0.25">
      <c r="A857" s="1" t="s">
        <v>435</v>
      </c>
      <c r="B857" s="3">
        <v>45838</v>
      </c>
      <c r="C857" s="1" t="s">
        <v>95</v>
      </c>
      <c r="D857" s="1" t="s">
        <v>39</v>
      </c>
      <c r="E857" s="1" t="s">
        <v>71</v>
      </c>
      <c r="F857" s="2">
        <v>157.55000000000001</v>
      </c>
      <c r="G857" s="2" t="s">
        <v>136</v>
      </c>
      <c r="H857" s="2">
        <v>11</v>
      </c>
      <c r="I857" s="2">
        <v>1733</v>
      </c>
      <c r="J857" s="2" t="s">
        <v>18</v>
      </c>
      <c r="K857" s="2" t="s">
        <v>19</v>
      </c>
      <c r="L857" s="2" t="s">
        <v>47</v>
      </c>
      <c r="M857" s="2" t="s">
        <v>48</v>
      </c>
      <c r="N857" s="2" t="s">
        <v>1062</v>
      </c>
      <c r="O857" s="2" t="s">
        <v>1056</v>
      </c>
      <c r="P857" t="s">
        <v>1079</v>
      </c>
      <c r="Q857">
        <v>2025</v>
      </c>
    </row>
    <row r="858" spans="1:17" hidden="1" x14ac:dyDescent="0.25">
      <c r="A858" s="1" t="s">
        <v>478</v>
      </c>
      <c r="B858" s="3">
        <v>45372</v>
      </c>
      <c r="C858" s="1" t="s">
        <v>439</v>
      </c>
      <c r="D858" s="1" t="s">
        <v>31</v>
      </c>
      <c r="E858" s="1" t="s">
        <v>45</v>
      </c>
      <c r="F858" s="2">
        <v>183.65</v>
      </c>
      <c r="G858" s="2" t="s">
        <v>98</v>
      </c>
      <c r="H858" s="2">
        <v>8</v>
      </c>
      <c r="I858" s="2">
        <v>1469.23</v>
      </c>
      <c r="J858" s="2" t="s">
        <v>63</v>
      </c>
      <c r="K858" s="2" t="s">
        <v>34</v>
      </c>
      <c r="L858" s="2" t="s">
        <v>20</v>
      </c>
      <c r="M858" s="2" t="s">
        <v>64</v>
      </c>
      <c r="N858" s="2" t="s">
        <v>1054</v>
      </c>
      <c r="O858" s="2" t="s">
        <v>1047</v>
      </c>
      <c r="P858" t="s">
        <v>1079</v>
      </c>
      <c r="Q858">
        <v>2024</v>
      </c>
    </row>
    <row r="859" spans="1:17" hidden="1" x14ac:dyDescent="0.25">
      <c r="A859" s="1" t="s">
        <v>263</v>
      </c>
      <c r="B859" s="3">
        <v>45425</v>
      </c>
      <c r="C859" s="1" t="s">
        <v>264</v>
      </c>
      <c r="D859" s="1" t="s">
        <v>15</v>
      </c>
      <c r="E859" s="1" t="s">
        <v>67</v>
      </c>
      <c r="F859" s="2">
        <v>404.52</v>
      </c>
      <c r="G859" s="2" t="s">
        <v>17</v>
      </c>
      <c r="H859" s="2">
        <v>9</v>
      </c>
      <c r="I859" s="2">
        <v>3640.7</v>
      </c>
      <c r="J859" s="2" t="s">
        <v>18</v>
      </c>
      <c r="K859" s="2" t="s">
        <v>19</v>
      </c>
      <c r="L859" s="2" t="s">
        <v>20</v>
      </c>
      <c r="M859" s="2" t="s">
        <v>64</v>
      </c>
      <c r="N859" s="2" t="s">
        <v>1057</v>
      </c>
      <c r="O859" s="2" t="s">
        <v>1056</v>
      </c>
      <c r="P859" t="s">
        <v>1079</v>
      </c>
      <c r="Q859">
        <v>2024</v>
      </c>
    </row>
    <row r="860" spans="1:17" hidden="1" x14ac:dyDescent="0.25">
      <c r="A860" s="1" t="s">
        <v>394</v>
      </c>
      <c r="B860" s="3">
        <v>45631</v>
      </c>
      <c r="C860" s="1" t="s">
        <v>61</v>
      </c>
      <c r="D860" s="1" t="s">
        <v>24</v>
      </c>
      <c r="E860" s="1" t="s">
        <v>71</v>
      </c>
      <c r="F860" s="2">
        <v>164.92</v>
      </c>
      <c r="G860" s="2" t="s">
        <v>75</v>
      </c>
      <c r="H860" s="2">
        <v>12</v>
      </c>
      <c r="I860" s="2">
        <v>1979</v>
      </c>
      <c r="J860" s="2" t="s">
        <v>18</v>
      </c>
      <c r="K860" s="2" t="s">
        <v>19</v>
      </c>
      <c r="L860" s="2" t="s">
        <v>27</v>
      </c>
      <c r="M860" s="2" t="s">
        <v>28</v>
      </c>
      <c r="N860" s="2" t="s">
        <v>1061</v>
      </c>
      <c r="O860" s="2" t="s">
        <v>1047</v>
      </c>
      <c r="P860" t="s">
        <v>1079</v>
      </c>
      <c r="Q860">
        <v>2024</v>
      </c>
    </row>
    <row r="861" spans="1:17" x14ac:dyDescent="0.25">
      <c r="A861" s="1" t="s">
        <v>682</v>
      </c>
      <c r="B861" s="3">
        <v>45762</v>
      </c>
      <c r="C861" s="1" t="s">
        <v>683</v>
      </c>
      <c r="D861" s="1" t="s">
        <v>39</v>
      </c>
      <c r="E861" s="1" t="s">
        <v>16</v>
      </c>
      <c r="F861" s="2">
        <v>120.14</v>
      </c>
      <c r="G861" s="2" t="s">
        <v>93</v>
      </c>
      <c r="H861" s="2">
        <v>10</v>
      </c>
      <c r="I861" s="2">
        <v>1201.3800000000001</v>
      </c>
      <c r="J861" s="2" t="s">
        <v>33</v>
      </c>
      <c r="K861" s="2" t="s">
        <v>34</v>
      </c>
      <c r="L861" s="2" t="s">
        <v>47</v>
      </c>
      <c r="M861" s="2" t="s">
        <v>48</v>
      </c>
      <c r="N861" s="2" t="s">
        <v>1048</v>
      </c>
      <c r="O861" s="2" t="s">
        <v>1053</v>
      </c>
      <c r="P861" t="s">
        <v>1079</v>
      </c>
      <c r="Q861">
        <v>2025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7058-064D-4581-BE80-897FF8FF30D0}">
  <dimension ref="C2:J84"/>
  <sheetViews>
    <sheetView topLeftCell="B1" workbookViewId="0">
      <selection activeCell="J18" sqref="J18"/>
    </sheetView>
  </sheetViews>
  <sheetFormatPr baseColWidth="10" defaultRowHeight="15" x14ac:dyDescent="0.25"/>
  <cols>
    <col min="3" max="3" width="20.42578125" bestFit="1" customWidth="1"/>
    <col min="4" max="4" width="18.7109375" bestFit="1" customWidth="1"/>
    <col min="5" max="5" width="18.42578125" bestFit="1" customWidth="1"/>
    <col min="6" max="6" width="12.5703125" bestFit="1" customWidth="1"/>
    <col min="7" max="7" width="20.42578125" bestFit="1" customWidth="1"/>
    <col min="8" max="8" width="18.5703125" bestFit="1" customWidth="1"/>
    <col min="9" max="9" width="9.5703125" bestFit="1" customWidth="1"/>
    <col min="10" max="10" width="12.7109375" bestFit="1" customWidth="1"/>
  </cols>
  <sheetData>
    <row r="2" spans="3:10" x14ac:dyDescent="0.25">
      <c r="C2" s="18" t="s">
        <v>1069</v>
      </c>
      <c r="D2" s="19"/>
      <c r="E2" s="19"/>
      <c r="F2" s="19"/>
      <c r="G2" s="19"/>
      <c r="H2" s="19"/>
    </row>
    <row r="3" spans="3:10" x14ac:dyDescent="0.25">
      <c r="C3" s="19"/>
      <c r="D3" s="19"/>
      <c r="E3" s="19"/>
      <c r="F3" s="19"/>
      <c r="G3" s="19"/>
      <c r="H3" s="19"/>
    </row>
    <row r="5" spans="3:10" x14ac:dyDescent="0.25">
      <c r="C5" s="4"/>
    </row>
    <row r="6" spans="3:10" x14ac:dyDescent="0.25">
      <c r="C6" s="16" t="s">
        <v>1036</v>
      </c>
      <c r="D6" s="16"/>
      <c r="G6" s="16" t="s">
        <v>1038</v>
      </c>
      <c r="H6" s="16"/>
    </row>
    <row r="7" spans="3:10" x14ac:dyDescent="0.25">
      <c r="C7" s="10" t="s">
        <v>1032</v>
      </c>
      <c r="D7" s="11" t="s">
        <v>1035</v>
      </c>
      <c r="G7" s="10" t="s">
        <v>1032</v>
      </c>
      <c r="H7" s="11" t="s">
        <v>1035</v>
      </c>
    </row>
    <row r="8" spans="3:10" x14ac:dyDescent="0.25">
      <c r="C8" s="12" t="s">
        <v>55</v>
      </c>
      <c r="D8" s="13">
        <v>1767.4962908163266</v>
      </c>
      <c r="G8" s="12" t="s">
        <v>71</v>
      </c>
      <c r="H8" s="13">
        <v>1887.6180306748463</v>
      </c>
    </row>
    <row r="9" spans="3:10" x14ac:dyDescent="0.25">
      <c r="C9" s="12" t="s">
        <v>39</v>
      </c>
      <c r="D9" s="13">
        <v>1977.4247846153846</v>
      </c>
      <c r="G9" s="12" t="s">
        <v>25</v>
      </c>
      <c r="H9" s="13">
        <v>1902.2514636363637</v>
      </c>
    </row>
    <row r="10" spans="3:10" x14ac:dyDescent="0.25">
      <c r="C10" s="12" t="s">
        <v>31</v>
      </c>
      <c r="D10" s="13">
        <v>2029.3333427672953</v>
      </c>
      <c r="G10" s="12" t="s">
        <v>67</v>
      </c>
      <c r="H10" s="13">
        <v>1978.0662234042554</v>
      </c>
    </row>
    <row r="11" spans="3:10" x14ac:dyDescent="0.25">
      <c r="C11" s="12" t="s">
        <v>24</v>
      </c>
      <c r="D11" s="13">
        <v>2116.0489671052637</v>
      </c>
      <c r="G11" s="12" t="s">
        <v>16</v>
      </c>
      <c r="H11" s="13">
        <v>2115.628251515152</v>
      </c>
    </row>
    <row r="12" spans="3:10" x14ac:dyDescent="0.25">
      <c r="C12" s="12" t="s">
        <v>15</v>
      </c>
      <c r="D12" s="13">
        <v>2185.5039430379757</v>
      </c>
      <c r="G12" s="12" t="s">
        <v>45</v>
      </c>
      <c r="H12" s="13">
        <v>2118.0549245810062</v>
      </c>
    </row>
    <row r="13" spans="3:10" x14ac:dyDescent="0.25">
      <c r="C13" s="12" t="s">
        <v>1033</v>
      </c>
      <c r="D13" s="13">
        <v>2001.9071784883727</v>
      </c>
      <c r="G13" s="12" t="s">
        <v>1033</v>
      </c>
      <c r="H13" s="13">
        <v>2001.9071784883727</v>
      </c>
    </row>
    <row r="15" spans="3:10" x14ac:dyDescent="0.25">
      <c r="C15" s="16" t="s">
        <v>1085</v>
      </c>
      <c r="D15" s="16"/>
    </row>
    <row r="16" spans="3:10" x14ac:dyDescent="0.25">
      <c r="C16" s="21">
        <f>MEDIAN(transactions_evaluation[Montant])</f>
        <v>1648.03</v>
      </c>
      <c r="D16" s="21"/>
      <c r="G16" s="16" t="s">
        <v>1041</v>
      </c>
      <c r="H16" s="16"/>
      <c r="I16" s="16"/>
      <c r="J16" s="16"/>
    </row>
    <row r="17" spans="3:10" x14ac:dyDescent="0.25">
      <c r="G17" s="10" t="s">
        <v>1040</v>
      </c>
      <c r="H17" s="10" t="s">
        <v>1039</v>
      </c>
      <c r="I17" s="11"/>
      <c r="J17" s="11"/>
    </row>
    <row r="18" spans="3:10" x14ac:dyDescent="0.25">
      <c r="C18" s="16" t="s">
        <v>1037</v>
      </c>
      <c r="D18" s="16"/>
      <c r="G18" s="10" t="s">
        <v>1032</v>
      </c>
      <c r="H18" s="11" t="s">
        <v>34</v>
      </c>
      <c r="I18" s="11" t="s">
        <v>19</v>
      </c>
      <c r="J18" s="11" t="s">
        <v>1033</v>
      </c>
    </row>
    <row r="19" spans="3:10" x14ac:dyDescent="0.25">
      <c r="C19" s="10" t="s">
        <v>1032</v>
      </c>
      <c r="D19" s="11" t="s">
        <v>1034</v>
      </c>
      <c r="G19" s="12" t="s">
        <v>15</v>
      </c>
      <c r="H19" s="14">
        <v>45</v>
      </c>
      <c r="I19" s="14">
        <v>113</v>
      </c>
      <c r="J19" s="14">
        <v>158</v>
      </c>
    </row>
    <row r="20" spans="3:10" x14ac:dyDescent="0.25">
      <c r="C20" s="12" t="s">
        <v>51</v>
      </c>
      <c r="D20" s="13">
        <v>111752.23999999998</v>
      </c>
      <c r="G20" s="12" t="s">
        <v>31</v>
      </c>
      <c r="H20" s="14">
        <v>56</v>
      </c>
      <c r="I20" s="14">
        <v>103</v>
      </c>
      <c r="J20" s="14">
        <v>159</v>
      </c>
    </row>
    <row r="21" spans="3:10" x14ac:dyDescent="0.25">
      <c r="C21" s="12" t="s">
        <v>170</v>
      </c>
      <c r="D21" s="13">
        <v>102118.91000000002</v>
      </c>
      <c r="G21" s="12" t="s">
        <v>39</v>
      </c>
      <c r="H21" s="14">
        <v>66</v>
      </c>
      <c r="I21" s="14">
        <v>129</v>
      </c>
      <c r="J21" s="14">
        <v>195</v>
      </c>
    </row>
    <row r="22" spans="3:10" x14ac:dyDescent="0.25">
      <c r="C22" s="12" t="s">
        <v>68</v>
      </c>
      <c r="D22" s="13">
        <v>99582.19</v>
      </c>
      <c r="G22" s="12" t="s">
        <v>55</v>
      </c>
      <c r="H22" s="14">
        <v>71</v>
      </c>
      <c r="I22" s="14">
        <v>125</v>
      </c>
      <c r="J22" s="14">
        <v>196</v>
      </c>
    </row>
    <row r="23" spans="3:10" x14ac:dyDescent="0.25">
      <c r="C23" s="12" t="s">
        <v>79</v>
      </c>
      <c r="D23" s="13">
        <v>97385.041500000007</v>
      </c>
      <c r="G23" s="12" t="s">
        <v>24</v>
      </c>
      <c r="H23" s="14">
        <v>51</v>
      </c>
      <c r="I23" s="14">
        <v>101</v>
      </c>
      <c r="J23" s="14">
        <v>152</v>
      </c>
    </row>
    <row r="24" spans="3:10" x14ac:dyDescent="0.25">
      <c r="C24" s="12" t="s">
        <v>32</v>
      </c>
      <c r="D24" s="13">
        <v>94830.619999999981</v>
      </c>
      <c r="G24" s="12" t="s">
        <v>1033</v>
      </c>
      <c r="H24" s="14">
        <v>289</v>
      </c>
      <c r="I24" s="14">
        <v>571</v>
      </c>
      <c r="J24" s="14">
        <v>860</v>
      </c>
    </row>
    <row r="25" spans="3:10" x14ac:dyDescent="0.25">
      <c r="C25" s="12" t="s">
        <v>62</v>
      </c>
      <c r="D25" s="13">
        <v>92475.351500000033</v>
      </c>
    </row>
    <row r="26" spans="3:10" x14ac:dyDescent="0.25">
      <c r="C26" s="12" t="s">
        <v>72</v>
      </c>
      <c r="D26" s="13">
        <v>91276.371500000008</v>
      </c>
    </row>
    <row r="27" spans="3:10" x14ac:dyDescent="0.25">
      <c r="C27" s="12" t="s">
        <v>31</v>
      </c>
      <c r="D27" s="13">
        <v>90000.13</v>
      </c>
      <c r="G27" s="16" t="s">
        <v>1043</v>
      </c>
      <c r="H27" s="16"/>
    </row>
    <row r="28" spans="3:10" x14ac:dyDescent="0.25">
      <c r="C28" s="12" t="s">
        <v>136</v>
      </c>
      <c r="D28" s="13">
        <v>86852.700000000012</v>
      </c>
      <c r="G28" s="10" t="s">
        <v>1032</v>
      </c>
      <c r="H28" s="11" t="s">
        <v>1042</v>
      </c>
    </row>
    <row r="29" spans="3:10" x14ac:dyDescent="0.25">
      <c r="C29" s="12" t="s">
        <v>148</v>
      </c>
      <c r="D29" s="13">
        <v>86260.621499999979</v>
      </c>
      <c r="G29" s="12" t="s">
        <v>18</v>
      </c>
      <c r="H29" s="15">
        <v>0.65581395348837213</v>
      </c>
    </row>
    <row r="30" spans="3:10" x14ac:dyDescent="0.25">
      <c r="C30" s="12" t="s">
        <v>90</v>
      </c>
      <c r="D30" s="13">
        <v>85094.469999999972</v>
      </c>
      <c r="G30" s="12" t="s">
        <v>33</v>
      </c>
      <c r="H30" s="15">
        <v>0.11744186046511627</v>
      </c>
    </row>
    <row r="31" spans="3:10" x14ac:dyDescent="0.25">
      <c r="C31" s="12" t="s">
        <v>17</v>
      </c>
      <c r="D31" s="13">
        <v>83078.961500000005</v>
      </c>
      <c r="G31" s="12" t="s">
        <v>63</v>
      </c>
      <c r="H31" s="15">
        <v>0.22674418604651161</v>
      </c>
    </row>
    <row r="32" spans="3:10" x14ac:dyDescent="0.25">
      <c r="C32" s="12" t="s">
        <v>93</v>
      </c>
      <c r="D32" s="13">
        <v>82235.881499999989</v>
      </c>
      <c r="G32" s="12" t="s">
        <v>1033</v>
      </c>
      <c r="H32" s="15">
        <v>1</v>
      </c>
    </row>
    <row r="33" spans="3:8" x14ac:dyDescent="0.25">
      <c r="C33" s="12" t="s">
        <v>98</v>
      </c>
      <c r="D33" s="13">
        <v>80116.561499999996</v>
      </c>
    </row>
    <row r="34" spans="3:8" x14ac:dyDescent="0.25">
      <c r="C34" s="12" t="s">
        <v>40</v>
      </c>
      <c r="D34" s="13">
        <v>79613.579999999987</v>
      </c>
    </row>
    <row r="35" spans="3:8" x14ac:dyDescent="0.25">
      <c r="C35" s="12" t="s">
        <v>56</v>
      </c>
      <c r="D35" s="13">
        <v>77689.14</v>
      </c>
    </row>
    <row r="36" spans="3:8" x14ac:dyDescent="0.25">
      <c r="C36" s="12" t="s">
        <v>26</v>
      </c>
      <c r="D36" s="13">
        <v>61261.743000000009</v>
      </c>
      <c r="G36" s="16" t="s">
        <v>1065</v>
      </c>
      <c r="H36" s="16"/>
    </row>
    <row r="37" spans="3:8" x14ac:dyDescent="0.25">
      <c r="C37" s="12" t="s">
        <v>75</v>
      </c>
      <c r="D37" s="13">
        <v>58676.600000000006</v>
      </c>
      <c r="G37" s="10" t="s">
        <v>1032</v>
      </c>
      <c r="H37" s="11" t="s">
        <v>1034</v>
      </c>
    </row>
    <row r="38" spans="3:8" x14ac:dyDescent="0.25">
      <c r="C38" s="12" t="s">
        <v>82</v>
      </c>
      <c r="D38" s="13">
        <v>58003.07</v>
      </c>
      <c r="G38" s="12" t="s">
        <v>1050</v>
      </c>
      <c r="H38" s="13">
        <v>153625.68</v>
      </c>
    </row>
    <row r="39" spans="3:8" x14ac:dyDescent="0.25">
      <c r="C39" s="12" t="s">
        <v>46</v>
      </c>
      <c r="D39" s="13">
        <v>57716.69</v>
      </c>
      <c r="G39" s="12" t="s">
        <v>1060</v>
      </c>
      <c r="H39" s="13">
        <v>161427.03000000006</v>
      </c>
    </row>
    <row r="40" spans="3:8" x14ac:dyDescent="0.25">
      <c r="C40" s="12" t="s">
        <v>1083</v>
      </c>
      <c r="D40" s="13">
        <v>45619.3</v>
      </c>
      <c r="G40" s="12" t="s">
        <v>1054</v>
      </c>
      <c r="H40" s="13">
        <v>156410.00149999998</v>
      </c>
    </row>
    <row r="41" spans="3:8" x14ac:dyDescent="0.25">
      <c r="C41" s="12" t="s">
        <v>1033</v>
      </c>
      <c r="D41" s="13">
        <v>1721640.1735000003</v>
      </c>
      <c r="G41" s="12" t="s">
        <v>1048</v>
      </c>
      <c r="H41" s="13">
        <v>186224.07149999999</v>
      </c>
    </row>
    <row r="42" spans="3:8" x14ac:dyDescent="0.25">
      <c r="G42" s="12" t="s">
        <v>1057</v>
      </c>
      <c r="H42" s="13">
        <v>140600.64300000001</v>
      </c>
    </row>
    <row r="43" spans="3:8" x14ac:dyDescent="0.25">
      <c r="G43" s="12" t="s">
        <v>1062</v>
      </c>
      <c r="H43" s="13">
        <v>134814.47000000003</v>
      </c>
    </row>
    <row r="44" spans="3:8" x14ac:dyDescent="0.25">
      <c r="G44" s="12" t="s">
        <v>1052</v>
      </c>
      <c r="H44" s="13">
        <v>136395.73150000002</v>
      </c>
    </row>
    <row r="45" spans="3:8" x14ac:dyDescent="0.25">
      <c r="C45" s="16" t="s">
        <v>1067</v>
      </c>
      <c r="D45" s="16"/>
      <c r="G45" s="12" t="s">
        <v>1051</v>
      </c>
      <c r="H45" s="13">
        <v>239198.09999999989</v>
      </c>
    </row>
    <row r="46" spans="3:8" x14ac:dyDescent="0.25">
      <c r="C46" s="10" t="s">
        <v>1032</v>
      </c>
      <c r="D46" s="11" t="s">
        <v>1066</v>
      </c>
      <c r="G46" s="12" t="s">
        <v>1049</v>
      </c>
      <c r="H46" s="13">
        <v>141691.23000000001</v>
      </c>
    </row>
    <row r="47" spans="3:8" x14ac:dyDescent="0.25">
      <c r="C47" s="12" t="s">
        <v>27</v>
      </c>
      <c r="D47" s="14">
        <v>2518</v>
      </c>
      <c r="G47" s="12" t="s">
        <v>1046</v>
      </c>
      <c r="H47" s="13">
        <v>157410.4345</v>
      </c>
    </row>
    <row r="48" spans="3:8" x14ac:dyDescent="0.25">
      <c r="C48" s="12" t="s">
        <v>47</v>
      </c>
      <c r="D48" s="14">
        <v>3521</v>
      </c>
      <c r="G48" s="12" t="s">
        <v>1064</v>
      </c>
      <c r="H48" s="13">
        <v>48522.18</v>
      </c>
    </row>
    <row r="49" spans="3:10" x14ac:dyDescent="0.25">
      <c r="C49" s="12" t="s">
        <v>41</v>
      </c>
      <c r="D49" s="14">
        <v>2509</v>
      </c>
      <c r="G49" s="12" t="s">
        <v>1061</v>
      </c>
      <c r="H49" s="13">
        <v>65320.601500000012</v>
      </c>
    </row>
    <row r="50" spans="3:10" x14ac:dyDescent="0.25">
      <c r="C50" s="12" t="s">
        <v>1033</v>
      </c>
      <c r="D50" s="14">
        <v>8548</v>
      </c>
      <c r="G50" s="12" t="s">
        <v>1033</v>
      </c>
      <c r="H50" s="13">
        <v>1721640.1735</v>
      </c>
    </row>
    <row r="54" spans="3:10" x14ac:dyDescent="0.25">
      <c r="C54" s="16" t="s">
        <v>1068</v>
      </c>
      <c r="D54" s="16"/>
      <c r="G54" s="16" t="s">
        <v>1071</v>
      </c>
      <c r="H54" s="16"/>
    </row>
    <row r="55" spans="3:10" x14ac:dyDescent="0.25">
      <c r="C55" s="10" t="s">
        <v>1032</v>
      </c>
      <c r="D55" s="11" t="s">
        <v>1034</v>
      </c>
      <c r="G55" s="10" t="s">
        <v>1032</v>
      </c>
      <c r="H55" s="11" t="s">
        <v>1070</v>
      </c>
    </row>
    <row r="56" spans="3:10" x14ac:dyDescent="0.25">
      <c r="C56" s="12" t="s">
        <v>1055</v>
      </c>
      <c r="D56" s="13">
        <v>247388.48149999999</v>
      </c>
      <c r="G56" s="12" t="s">
        <v>34</v>
      </c>
      <c r="H56" s="14">
        <v>289</v>
      </c>
    </row>
    <row r="57" spans="3:10" x14ac:dyDescent="0.25">
      <c r="C57" s="12" t="s">
        <v>1056</v>
      </c>
      <c r="D57" s="13">
        <v>263966.33299999998</v>
      </c>
      <c r="G57" s="12" t="s">
        <v>19</v>
      </c>
      <c r="H57" s="14">
        <v>571</v>
      </c>
    </row>
    <row r="58" spans="3:10" x14ac:dyDescent="0.25">
      <c r="C58" s="12" t="s">
        <v>1053</v>
      </c>
      <c r="D58" s="13">
        <v>235849.89150000006</v>
      </c>
      <c r="G58" s="12" t="s">
        <v>1033</v>
      </c>
      <c r="H58" s="14">
        <v>860</v>
      </c>
    </row>
    <row r="59" spans="3:10" x14ac:dyDescent="0.25">
      <c r="C59" s="12" t="s">
        <v>1059</v>
      </c>
      <c r="D59" s="13">
        <v>254223.17450000002</v>
      </c>
    </row>
    <row r="60" spans="3:10" x14ac:dyDescent="0.25">
      <c r="C60" s="12" t="s">
        <v>1047</v>
      </c>
      <c r="D60" s="13">
        <v>220665.24149999997</v>
      </c>
    </row>
    <row r="61" spans="3:10" x14ac:dyDescent="0.25">
      <c r="C61" s="12" t="s">
        <v>1058</v>
      </c>
      <c r="D61" s="13">
        <v>268677.97150000004</v>
      </c>
    </row>
    <row r="62" spans="3:10" x14ac:dyDescent="0.25">
      <c r="C62" s="12" t="s">
        <v>1063</v>
      </c>
      <c r="D62" s="13">
        <v>230869.07999999993</v>
      </c>
      <c r="G62" s="16" t="s">
        <v>1081</v>
      </c>
      <c r="H62" s="16"/>
    </row>
    <row r="63" spans="3:10" x14ac:dyDescent="0.25">
      <c r="C63" s="12" t="s">
        <v>1033</v>
      </c>
      <c r="D63" s="13">
        <v>1721640.1734999998</v>
      </c>
      <c r="G63" s="10" t="s">
        <v>1032</v>
      </c>
      <c r="H63" s="11" t="s">
        <v>1080</v>
      </c>
    </row>
    <row r="64" spans="3:10" x14ac:dyDescent="0.25">
      <c r="G64" s="12" t="s">
        <v>1078</v>
      </c>
      <c r="H64" s="14">
        <v>46</v>
      </c>
      <c r="J64">
        <f>H64</f>
        <v>46</v>
      </c>
    </row>
    <row r="65" spans="3:8" x14ac:dyDescent="0.25">
      <c r="G65" s="12" t="s">
        <v>1079</v>
      </c>
      <c r="H65" s="14">
        <v>814</v>
      </c>
    </row>
    <row r="66" spans="3:8" x14ac:dyDescent="0.25">
      <c r="G66" s="12" t="s">
        <v>1033</v>
      </c>
      <c r="H66" s="14">
        <v>860</v>
      </c>
    </row>
    <row r="69" spans="3:8" x14ac:dyDescent="0.25">
      <c r="C69" s="16" t="s">
        <v>1072</v>
      </c>
      <c r="D69" s="16"/>
    </row>
    <row r="70" spans="3:8" x14ac:dyDescent="0.25">
      <c r="C70" s="20">
        <f>SUM(transactions_evaluation[Quantite])</f>
        <v>13314</v>
      </c>
      <c r="D70" s="20"/>
    </row>
    <row r="72" spans="3:8" x14ac:dyDescent="0.25">
      <c r="C72" s="8" t="s">
        <v>1073</v>
      </c>
      <c r="D72" s="8" t="s">
        <v>1074</v>
      </c>
      <c r="E72" s="8" t="s">
        <v>1075</v>
      </c>
      <c r="F72" s="8" t="s">
        <v>1076</v>
      </c>
      <c r="G72" s="8" t="s">
        <v>1082</v>
      </c>
    </row>
    <row r="73" spans="3:8" x14ac:dyDescent="0.25">
      <c r="C73" s="7">
        <f>QUARTILE(transactions_evaluation[Montant],1)</f>
        <v>1216.7</v>
      </c>
      <c r="D73" s="7">
        <f>QUARTILE(transactions_evaluation[Montant],3)</f>
        <v>2359.6525000000001</v>
      </c>
      <c r="E73" s="7">
        <f>D73-C73</f>
        <v>1142.9525000000001</v>
      </c>
      <c r="F73" s="6">
        <f>C73-(E73*1.5)</f>
        <v>-497.72874999999999</v>
      </c>
      <c r="G73" s="9">
        <f>D73+(E73*1.5)</f>
        <v>4074.0812500000002</v>
      </c>
    </row>
    <row r="77" spans="3:8" x14ac:dyDescent="0.25">
      <c r="C77" s="17" t="s">
        <v>1084</v>
      </c>
      <c r="D77" s="17"/>
      <c r="E77" s="17"/>
    </row>
    <row r="78" spans="3:8" x14ac:dyDescent="0.25">
      <c r="C78" s="10" t="s">
        <v>1032</v>
      </c>
      <c r="D78" s="11" t="s">
        <v>1066</v>
      </c>
      <c r="E78" s="11" t="s">
        <v>1034</v>
      </c>
    </row>
    <row r="79" spans="3:8" x14ac:dyDescent="0.25">
      <c r="C79" s="12" t="s">
        <v>47</v>
      </c>
      <c r="D79" s="14">
        <v>3521</v>
      </c>
      <c r="E79" s="13">
        <v>406136.49000000017</v>
      </c>
    </row>
    <row r="80" spans="3:8" x14ac:dyDescent="0.25">
      <c r="C80" s="12" t="s">
        <v>27</v>
      </c>
      <c r="D80" s="14">
        <v>2518</v>
      </c>
      <c r="E80" s="13">
        <v>345221.98050000006</v>
      </c>
    </row>
    <row r="81" spans="3:5" x14ac:dyDescent="0.25">
      <c r="C81" s="12" t="s">
        <v>41</v>
      </c>
      <c r="D81" s="14">
        <v>2509</v>
      </c>
      <c r="E81" s="13">
        <v>341877.78299999988</v>
      </c>
    </row>
    <row r="82" spans="3:5" x14ac:dyDescent="0.25">
      <c r="C82" s="12" t="s">
        <v>35</v>
      </c>
      <c r="D82" s="14">
        <v>2475</v>
      </c>
      <c r="E82" s="13">
        <v>319444.09000000014</v>
      </c>
    </row>
    <row r="83" spans="3:5" x14ac:dyDescent="0.25">
      <c r="C83" s="12" t="s">
        <v>20</v>
      </c>
      <c r="D83" s="14">
        <v>2291</v>
      </c>
      <c r="E83" s="13">
        <v>308959.8299999999</v>
      </c>
    </row>
    <row r="84" spans="3:5" x14ac:dyDescent="0.25">
      <c r="C84" s="12" t="s">
        <v>1033</v>
      </c>
      <c r="D84" s="14">
        <v>13314</v>
      </c>
      <c r="E84" s="13">
        <v>1721640.1735</v>
      </c>
    </row>
  </sheetData>
  <mergeCells count="17">
    <mergeCell ref="C16:D16"/>
    <mergeCell ref="I16:J16"/>
    <mergeCell ref="G62:H62"/>
    <mergeCell ref="C77:E77"/>
    <mergeCell ref="C2:H3"/>
    <mergeCell ref="G36:H36"/>
    <mergeCell ref="C45:D45"/>
    <mergeCell ref="G16:H16"/>
    <mergeCell ref="G54:H54"/>
    <mergeCell ref="C6:D6"/>
    <mergeCell ref="C18:D18"/>
    <mergeCell ref="G6:H6"/>
    <mergeCell ref="G27:H27"/>
    <mergeCell ref="C54:D54"/>
    <mergeCell ref="C69:D69"/>
    <mergeCell ref="C70:D70"/>
    <mergeCell ref="C15:D15"/>
  </mergeCells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4B23-133F-429C-BECB-039E7FFDC8F8}">
  <dimension ref="A1"/>
  <sheetViews>
    <sheetView showGridLines="0" zoomScale="40" zoomScaleNormal="40" workbookViewId="0">
      <selection activeCell="V40" sqref="V40"/>
    </sheetView>
  </sheetViews>
  <sheetFormatPr baseColWidth="10" defaultRowHeight="15" x14ac:dyDescent="0.25"/>
  <cols>
    <col min="1" max="16384" width="11.42578125" style="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8214-2EC9-4E8D-BB8A-9600870C6F77}">
  <dimension ref="A1"/>
  <sheetViews>
    <sheetView showGridLines="0" tabSelected="1" zoomScale="35" zoomScaleNormal="35" workbookViewId="0">
      <selection activeCell="X24" sqref="X24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688404-7749-4D8A-A949-21A2713F6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Transactions_data</vt:lpstr>
      <vt:lpstr>TCD</vt:lpstr>
      <vt:lpstr>Dashboard</vt:lpstr>
      <vt:lpstr>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Kodjo Georges AKAKPO</dc:creator>
  <cp:lastModifiedBy>Kodjo Georges AKAKPO</cp:lastModifiedBy>
  <dcterms:created xsi:type="dcterms:W3CDTF">2025-12-12T19:51:20Z</dcterms:created>
  <dcterms:modified xsi:type="dcterms:W3CDTF">2025-12-22T11:23:15Z</dcterms:modified>
</cp:coreProperties>
</file>